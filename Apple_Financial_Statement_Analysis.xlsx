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murt\Downloads\"/>
    </mc:Choice>
  </mc:AlternateContent>
  <xr:revisionPtr revIDLastSave="0" documentId="11_4AE83B417B9B1FC001D71E47DCBD04C55EDE8386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Raw_Data" sheetId="1" r:id="rId1"/>
    <sheet name="Ratios" sheetId="2" r:id="rId2"/>
    <sheet name="PBI_Model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4" i="3" l="1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F26" i="2"/>
  <c r="D169" i="3" s="1"/>
  <c r="E26" i="2"/>
  <c r="D168" i="3" s="1"/>
  <c r="D26" i="2"/>
  <c r="D167" i="3" s="1"/>
  <c r="C26" i="2"/>
  <c r="D166" i="3" s="1"/>
  <c r="B26" i="2"/>
  <c r="D165" i="3" s="1"/>
  <c r="F25" i="2"/>
  <c r="D164" i="3" s="1"/>
  <c r="E25" i="2"/>
  <c r="D163" i="3" s="1"/>
  <c r="D25" i="2"/>
  <c r="D162" i="3" s="1"/>
  <c r="C25" i="2"/>
  <c r="D161" i="3" s="1"/>
  <c r="B25" i="2"/>
  <c r="D160" i="3" s="1"/>
  <c r="F22" i="2"/>
  <c r="D159" i="3" s="1"/>
  <c r="E22" i="2"/>
  <c r="D158" i="3" s="1"/>
  <c r="D22" i="2"/>
  <c r="D157" i="3" s="1"/>
  <c r="C22" i="2"/>
  <c r="D156" i="3" s="1"/>
  <c r="B22" i="2"/>
  <c r="D155" i="3" s="1"/>
  <c r="F21" i="2"/>
  <c r="D154" i="3" s="1"/>
  <c r="E21" i="2"/>
  <c r="D153" i="3" s="1"/>
  <c r="D21" i="2"/>
  <c r="D152" i="3" s="1"/>
  <c r="C21" i="2"/>
  <c r="D151" i="3" s="1"/>
  <c r="B21" i="2"/>
  <c r="D150" i="3" s="1"/>
  <c r="F18" i="2"/>
  <c r="D149" i="3" s="1"/>
  <c r="E18" i="2"/>
  <c r="D148" i="3" s="1"/>
  <c r="D18" i="2"/>
  <c r="D147" i="3" s="1"/>
  <c r="C18" i="2"/>
  <c r="D146" i="3" s="1"/>
  <c r="B18" i="2"/>
  <c r="D145" i="3" s="1"/>
  <c r="F17" i="2"/>
  <c r="D144" i="3" s="1"/>
  <c r="E17" i="2"/>
  <c r="D143" i="3" s="1"/>
  <c r="D17" i="2"/>
  <c r="D142" i="3" s="1"/>
  <c r="C17" i="2"/>
  <c r="D141" i="3" s="1"/>
  <c r="B17" i="2"/>
  <c r="D140" i="3" s="1"/>
  <c r="F14" i="2"/>
  <c r="D139" i="3" s="1"/>
  <c r="E14" i="2"/>
  <c r="D138" i="3" s="1"/>
  <c r="D14" i="2"/>
  <c r="D137" i="3" s="1"/>
  <c r="C14" i="2"/>
  <c r="D136" i="3" s="1"/>
  <c r="B14" i="2"/>
  <c r="D135" i="3" s="1"/>
  <c r="F13" i="2"/>
  <c r="D134" i="3" s="1"/>
  <c r="E13" i="2"/>
  <c r="D133" i="3" s="1"/>
  <c r="D13" i="2"/>
  <c r="D132" i="3" s="1"/>
  <c r="C13" i="2"/>
  <c r="D131" i="3" s="1"/>
  <c r="B13" i="2"/>
  <c r="D130" i="3" s="1"/>
  <c r="F12" i="2"/>
  <c r="D129" i="3" s="1"/>
  <c r="E12" i="2"/>
  <c r="D128" i="3" s="1"/>
  <c r="D12" i="2"/>
  <c r="D127" i="3" s="1"/>
  <c r="C12" i="2"/>
  <c r="D126" i="3" s="1"/>
  <c r="B12" i="2"/>
  <c r="D125" i="3" s="1"/>
  <c r="F11" i="2"/>
  <c r="D124" i="3" s="1"/>
  <c r="E11" i="2"/>
  <c r="D123" i="3" s="1"/>
  <c r="D11" i="2"/>
  <c r="D122" i="3" s="1"/>
  <c r="C11" i="2"/>
  <c r="D121" i="3" s="1"/>
  <c r="B11" i="2"/>
  <c r="D120" i="3" s="1"/>
  <c r="F10" i="2"/>
  <c r="D119" i="3" s="1"/>
  <c r="E10" i="2"/>
  <c r="D118" i="3" s="1"/>
  <c r="D10" i="2"/>
  <c r="D117" i="3" s="1"/>
  <c r="C10" i="2"/>
  <c r="D116" i="3" s="1"/>
  <c r="B10" i="2"/>
  <c r="D115" i="3" s="1"/>
  <c r="F7" i="2"/>
  <c r="D114" i="3" s="1"/>
  <c r="E7" i="2"/>
  <c r="D113" i="3" s="1"/>
  <c r="D7" i="2"/>
  <c r="D112" i="3" s="1"/>
  <c r="C7" i="2"/>
  <c r="D111" i="3" s="1"/>
  <c r="B7" i="2"/>
  <c r="D110" i="3" s="1"/>
  <c r="F6" i="2"/>
  <c r="D109" i="3" s="1"/>
  <c r="E6" i="2"/>
  <c r="D108" i="3" s="1"/>
  <c r="D6" i="2"/>
  <c r="D107" i="3" s="1"/>
  <c r="C6" i="2"/>
  <c r="D106" i="3" s="1"/>
  <c r="B6" i="2"/>
  <c r="D105" i="3" s="1"/>
</calcChain>
</file>

<file path=xl/sharedStrings.xml><?xml version="1.0" encoding="utf-8"?>
<sst xmlns="http://schemas.openxmlformats.org/spreadsheetml/2006/main" count="559" uniqueCount="62">
  <si>
    <t>Apple Inc. — Financial Statement Raw Data (FY2021–FY2025)</t>
  </si>
  <si>
    <t>Source: Apple Inc. Form 10-K filings, SEC EDGAR (CIK 0000320193) — $ in millions, fiscal year ended late September</t>
  </si>
  <si>
    <t>Line Item</t>
  </si>
  <si>
    <t>FY2021</t>
  </si>
  <si>
    <t>FY2022</t>
  </si>
  <si>
    <t>FY2023</t>
  </si>
  <si>
    <t>FY2024</t>
  </si>
  <si>
    <t>FY2025</t>
  </si>
  <si>
    <t>INCOME STATEMENT</t>
  </si>
  <si>
    <t>Revenue</t>
  </si>
  <si>
    <t>Cost of Sales</t>
  </si>
  <si>
    <t>Gross Profit</t>
  </si>
  <si>
    <t>Research &amp; Development</t>
  </si>
  <si>
    <t>Selling, General &amp; Administrative</t>
  </si>
  <si>
    <t>Total Operating Expenses</t>
  </si>
  <si>
    <t>Operating Income</t>
  </si>
  <si>
    <t>Net Income</t>
  </si>
  <si>
    <t>BALANCE SHEET</t>
  </si>
  <si>
    <t>Cash &amp; Equivalents</t>
  </si>
  <si>
    <t>Inventory</t>
  </si>
  <si>
    <t>Total Current Assets</t>
  </si>
  <si>
    <t>Total Assets</t>
  </si>
  <si>
    <t>Total Current Liabilities</t>
  </si>
  <si>
    <t>Total Liabilities</t>
  </si>
  <si>
    <t>Total Shareholders' Equity</t>
  </si>
  <si>
    <t>CASH FLOW STATEMENT</t>
  </si>
  <si>
    <t>Operating Cash Flow</t>
  </si>
  <si>
    <t>Investing Cash Flow</t>
  </si>
  <si>
    <t>Financing Cash Flow</t>
  </si>
  <si>
    <t>Capital Expenditures</t>
  </si>
  <si>
    <t>Free Cash Flow</t>
  </si>
  <si>
    <t>Note: Cost of Sales for FY2024/FY2025 derived as Revenue − Gross Profit (not pulled as a discrete 10-K line item).</t>
  </si>
  <si>
    <t>Apple Inc. — Financial Ratio Analysis (FY2021–FY2025)</t>
  </si>
  <si>
    <t>Ratio</t>
  </si>
  <si>
    <t>LIQUIDITY RATIOS</t>
  </si>
  <si>
    <t>Current Ratio</t>
  </si>
  <si>
    <t>Cash Ratio</t>
  </si>
  <si>
    <t>PROFITABILITY RATIOS</t>
  </si>
  <si>
    <t>Gross Margin</t>
  </si>
  <si>
    <t>Operating Margin</t>
  </si>
  <si>
    <t>Net Margin</t>
  </si>
  <si>
    <t>Return on Assets (ROA)</t>
  </si>
  <si>
    <t>Return on Equity (ROE)</t>
  </si>
  <si>
    <t>LEVERAGE / SOLVENCY RATIOS</t>
  </si>
  <si>
    <t>Debt-to-Equity (Total Liabilities / Equity)</t>
  </si>
  <si>
    <t>Equity Ratio (Equity / Total Assets)</t>
  </si>
  <si>
    <t>EFFICIENCY RATIOS</t>
  </si>
  <si>
    <t>Asset Turnover (Revenue / Total Assets)</t>
  </si>
  <si>
    <t>Inventory Turnover (Cost of Sales / Inventory)</t>
  </si>
  <si>
    <t>CASH FLOW RATIOS</t>
  </si>
  <si>
    <t>Free Cash Flow Margin (FCF / Revenue)</t>
  </si>
  <si>
    <t>Operating Cash Flow Ratio (OCF / Current Liabilities)</t>
  </si>
  <si>
    <t>All ratios calculated directly from Raw_Data sheet — update figures there and these recalculate automatically.</t>
  </si>
  <si>
    <t>Flat Data Model for Power BI Import</t>
  </si>
  <si>
    <t>One row per Year x Metric x Value — connect Power BI to this table.</t>
  </si>
  <si>
    <t>Year</t>
  </si>
  <si>
    <t>Statement</t>
  </si>
  <si>
    <t>Metric</t>
  </si>
  <si>
    <t>Value</t>
  </si>
  <si>
    <t>Income Statement</t>
  </si>
  <si>
    <t>Balance Sheet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</si>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</sst>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\x;\(0.00&quot;x)&quot;;\-"/>
    <numFmt numFmtId="166" formatCode="0.0%;\(0.0%\);\-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b/>
      <sz val="11"/>
      <color rgb="FF1F4E78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164" fontId="6" fillId="0" borderId="1" xfId="0" applyNumberFormat="1" applyFont="1" applyBorder="1"/>
    <xf numFmtId="165" fontId="7" fillId="0" borderId="1" xfId="0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31" zoomScaleNormal="100" workbookViewId="0"/>
  </sheetViews>
  <sheetFormatPr defaultColWidth="8.6328125" defaultRowHeight="14.5" x14ac:dyDescent="0.35"/>
  <cols>
    <col min="1" max="1" width="34" customWidth="1"/>
    <col min="2" max="6" width="13" customWidth="1"/>
  </cols>
  <sheetData>
    <row r="1" spans="1:6" ht="18" x14ac:dyDescent="0.4">
      <c r="A1" s="1" t="s">
        <v>0</v>
      </c>
    </row>
    <row r="2" spans="1:6" x14ac:dyDescent="0.35">
      <c r="A2" s="2" t="s">
        <v>1</v>
      </c>
    </row>
    <row r="4" spans="1: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6" spans="1:6" x14ac:dyDescent="0.35">
      <c r="A6" s="4" t="s">
        <v>8</v>
      </c>
    </row>
    <row r="7" spans="1:6" x14ac:dyDescent="0.35">
      <c r="A7" s="5" t="s">
        <v>9</v>
      </c>
      <c r="B7" s="6">
        <v>365817</v>
      </c>
      <c r="C7" s="6">
        <v>394328</v>
      </c>
      <c r="D7" s="6">
        <v>383285</v>
      </c>
      <c r="E7" s="6">
        <v>391035</v>
      </c>
      <c r="F7" s="6">
        <v>416161</v>
      </c>
    </row>
    <row r="8" spans="1:6" x14ac:dyDescent="0.35">
      <c r="A8" s="5" t="s">
        <v>10</v>
      </c>
      <c r="B8" s="6">
        <v>212981</v>
      </c>
      <c r="C8" s="6">
        <v>223546</v>
      </c>
      <c r="D8" s="6">
        <v>214137</v>
      </c>
      <c r="E8" s="6">
        <v>210352</v>
      </c>
      <c r="F8" s="6">
        <v>220960</v>
      </c>
    </row>
    <row r="9" spans="1:6" x14ac:dyDescent="0.35">
      <c r="A9" s="5" t="s">
        <v>11</v>
      </c>
      <c r="B9" s="6">
        <v>152836</v>
      </c>
      <c r="C9" s="6">
        <v>170782</v>
      </c>
      <c r="D9" s="6">
        <v>169148</v>
      </c>
      <c r="E9" s="6">
        <v>180683</v>
      </c>
      <c r="F9" s="6">
        <v>195201</v>
      </c>
    </row>
    <row r="10" spans="1:6" x14ac:dyDescent="0.35">
      <c r="A10" s="5" t="s">
        <v>12</v>
      </c>
      <c r="B10" s="6">
        <v>21914</v>
      </c>
      <c r="C10" s="6">
        <v>26251</v>
      </c>
      <c r="D10" s="6">
        <v>29915</v>
      </c>
      <c r="E10" s="6">
        <v>31370</v>
      </c>
      <c r="F10" s="6">
        <v>34550</v>
      </c>
    </row>
    <row r="11" spans="1:6" x14ac:dyDescent="0.35">
      <c r="A11" s="5" t="s">
        <v>13</v>
      </c>
      <c r="B11" s="6">
        <v>21973</v>
      </c>
      <c r="C11" s="6">
        <v>25094</v>
      </c>
      <c r="D11" s="6">
        <v>24932</v>
      </c>
      <c r="E11" s="6">
        <v>26097</v>
      </c>
      <c r="F11" s="6">
        <v>27601</v>
      </c>
    </row>
    <row r="12" spans="1:6" x14ac:dyDescent="0.35">
      <c r="A12" s="5" t="s">
        <v>14</v>
      </c>
      <c r="B12" s="6">
        <v>43887</v>
      </c>
      <c r="C12" s="6">
        <v>51345</v>
      </c>
      <c r="D12" s="6">
        <v>54847</v>
      </c>
      <c r="E12" s="6">
        <v>57467</v>
      </c>
      <c r="F12" s="6">
        <v>62151</v>
      </c>
    </row>
    <row r="13" spans="1:6" x14ac:dyDescent="0.35">
      <c r="A13" s="5" t="s">
        <v>15</v>
      </c>
      <c r="B13" s="6">
        <v>108949</v>
      </c>
      <c r="C13" s="6">
        <v>119437</v>
      </c>
      <c r="D13" s="6">
        <v>114301</v>
      </c>
      <c r="E13" s="6">
        <v>123216</v>
      </c>
      <c r="F13" s="6">
        <v>133050</v>
      </c>
    </row>
    <row r="14" spans="1:6" x14ac:dyDescent="0.35">
      <c r="A14" s="5" t="s">
        <v>16</v>
      </c>
      <c r="B14" s="6">
        <v>94680</v>
      </c>
      <c r="C14" s="6">
        <v>99803</v>
      </c>
      <c r="D14" s="6">
        <v>96995</v>
      </c>
      <c r="E14" s="6">
        <v>93736</v>
      </c>
      <c r="F14" s="6">
        <v>112010</v>
      </c>
    </row>
    <row r="16" spans="1:6" x14ac:dyDescent="0.35">
      <c r="A16" s="4" t="s">
        <v>17</v>
      </c>
    </row>
    <row r="17" spans="1:6" x14ac:dyDescent="0.35">
      <c r="A17" s="5" t="s">
        <v>18</v>
      </c>
      <c r="B17" s="6">
        <v>34940</v>
      </c>
      <c r="C17" s="6">
        <v>23646</v>
      </c>
      <c r="D17" s="6">
        <v>29965</v>
      </c>
      <c r="E17" s="6">
        <v>29943</v>
      </c>
      <c r="F17" s="6">
        <v>35934</v>
      </c>
    </row>
    <row r="18" spans="1:6" x14ac:dyDescent="0.35">
      <c r="A18" s="5" t="s">
        <v>19</v>
      </c>
      <c r="B18" s="6">
        <v>6580</v>
      </c>
      <c r="C18" s="6">
        <v>4946</v>
      </c>
      <c r="D18" s="6">
        <v>6331</v>
      </c>
      <c r="E18" s="6">
        <v>7286</v>
      </c>
      <c r="F18" s="6">
        <v>5718</v>
      </c>
    </row>
    <row r="19" spans="1:6" x14ac:dyDescent="0.35">
      <c r="A19" s="5" t="s">
        <v>20</v>
      </c>
      <c r="B19" s="6">
        <v>134836</v>
      </c>
      <c r="C19" s="6">
        <v>135405</v>
      </c>
      <c r="D19" s="6">
        <v>143566</v>
      </c>
      <c r="E19" s="6">
        <v>152987</v>
      </c>
      <c r="F19" s="6">
        <v>147957</v>
      </c>
    </row>
    <row r="20" spans="1:6" x14ac:dyDescent="0.35">
      <c r="A20" s="5" t="s">
        <v>21</v>
      </c>
      <c r="B20" s="6">
        <v>351002</v>
      </c>
      <c r="C20" s="6">
        <v>352755</v>
      </c>
      <c r="D20" s="6">
        <v>352583</v>
      </c>
      <c r="E20" s="6">
        <v>364980</v>
      </c>
      <c r="F20" s="6">
        <v>359241</v>
      </c>
    </row>
    <row r="21" spans="1:6" x14ac:dyDescent="0.35">
      <c r="A21" s="5" t="s">
        <v>22</v>
      </c>
      <c r="B21" s="6">
        <v>125481</v>
      </c>
      <c r="C21" s="6">
        <v>153982</v>
      </c>
      <c r="D21" s="6">
        <v>145308</v>
      </c>
      <c r="E21" s="6">
        <v>176392</v>
      </c>
      <c r="F21" s="6">
        <v>165631</v>
      </c>
    </row>
    <row r="22" spans="1:6" x14ac:dyDescent="0.35">
      <c r="A22" s="5" t="s">
        <v>23</v>
      </c>
      <c r="B22" s="6">
        <v>287912</v>
      </c>
      <c r="C22" s="6">
        <v>302083</v>
      </c>
      <c r="D22" s="6">
        <v>290437</v>
      </c>
      <c r="E22" s="6">
        <v>308030</v>
      </c>
      <c r="F22" s="6">
        <v>285508</v>
      </c>
    </row>
    <row r="23" spans="1:6" x14ac:dyDescent="0.35">
      <c r="A23" s="5" t="s">
        <v>24</v>
      </c>
      <c r="B23" s="6">
        <v>63090</v>
      </c>
      <c r="C23" s="6">
        <v>50672</v>
      </c>
      <c r="D23" s="6">
        <v>62146</v>
      </c>
      <c r="E23" s="6">
        <v>56950</v>
      </c>
      <c r="F23" s="6">
        <v>73733</v>
      </c>
    </row>
    <row r="25" spans="1:6" x14ac:dyDescent="0.35">
      <c r="A25" s="4" t="s">
        <v>25</v>
      </c>
    </row>
    <row r="26" spans="1:6" x14ac:dyDescent="0.35">
      <c r="A26" s="5" t="s">
        <v>26</v>
      </c>
      <c r="B26" s="6">
        <v>104038</v>
      </c>
      <c r="C26" s="6">
        <v>122151</v>
      </c>
      <c r="D26" s="6">
        <v>110543</v>
      </c>
      <c r="E26" s="6">
        <v>118254</v>
      </c>
      <c r="F26" s="6">
        <v>111482</v>
      </c>
    </row>
    <row r="27" spans="1:6" x14ac:dyDescent="0.35">
      <c r="A27" s="5" t="s">
        <v>27</v>
      </c>
      <c r="B27" s="6">
        <v>-14545</v>
      </c>
      <c r="C27" s="6">
        <v>-22354</v>
      </c>
      <c r="D27" s="6">
        <v>3705</v>
      </c>
      <c r="E27" s="6">
        <v>2935</v>
      </c>
      <c r="F27" s="6">
        <v>15195</v>
      </c>
    </row>
    <row r="28" spans="1:6" x14ac:dyDescent="0.35">
      <c r="A28" s="5" t="s">
        <v>28</v>
      </c>
      <c r="B28" s="6">
        <v>-93353</v>
      </c>
      <c r="C28" s="6">
        <v>-110749</v>
      </c>
      <c r="D28" s="6">
        <v>-108488</v>
      </c>
      <c r="E28" s="6">
        <v>-121983</v>
      </c>
      <c r="F28" s="6">
        <v>-120686</v>
      </c>
    </row>
    <row r="29" spans="1:6" x14ac:dyDescent="0.35">
      <c r="A29" s="5" t="s">
        <v>29</v>
      </c>
      <c r="B29" s="6">
        <v>-11085</v>
      </c>
      <c r="C29" s="6">
        <v>-10708</v>
      </c>
      <c r="D29" s="6">
        <v>-10959</v>
      </c>
      <c r="E29" s="6">
        <v>-9447</v>
      </c>
      <c r="F29" s="6">
        <v>-12715</v>
      </c>
    </row>
    <row r="30" spans="1:6" x14ac:dyDescent="0.35">
      <c r="A30" s="5" t="s">
        <v>30</v>
      </c>
      <c r="B30" s="6">
        <v>92953</v>
      </c>
      <c r="C30" s="6">
        <v>111443</v>
      </c>
      <c r="D30" s="6">
        <v>99584</v>
      </c>
      <c r="E30" s="6">
        <v>108807</v>
      </c>
      <c r="F30" s="6">
        <v>98767</v>
      </c>
    </row>
    <row r="32" spans="1:6" x14ac:dyDescent="0.35">
      <c r="A32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Normal="100" workbookViewId="0"/>
  </sheetViews>
  <sheetFormatPr defaultColWidth="8.6328125" defaultRowHeight="14.5" x14ac:dyDescent="0.35"/>
  <cols>
    <col min="1" max="1" width="34" customWidth="1"/>
    <col min="2" max="6" width="13" customWidth="1"/>
  </cols>
  <sheetData>
    <row r="1" spans="1:6" ht="18" x14ac:dyDescent="0.4">
      <c r="A1" s="1" t="s">
        <v>32</v>
      </c>
    </row>
    <row r="3" spans="1:6" x14ac:dyDescent="0.35">
      <c r="A3" s="3" t="s">
        <v>33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5" spans="1:6" x14ac:dyDescent="0.35">
      <c r="A5" s="4" t="s">
        <v>34</v>
      </c>
    </row>
    <row r="6" spans="1:6" x14ac:dyDescent="0.35">
      <c r="A6" s="5" t="s">
        <v>35</v>
      </c>
      <c r="B6" s="7">
        <f>Raw_Data!B19/Raw_Data!B21</f>
        <v>1.0745531195957954</v>
      </c>
      <c r="C6" s="7">
        <f>Raw_Data!C19/Raw_Data!C21</f>
        <v>0.87935602862672257</v>
      </c>
      <c r="D6" s="7">
        <f>Raw_Data!D19/Raw_Data!D21</f>
        <v>0.98801167175929749</v>
      </c>
      <c r="E6" s="7">
        <f>Raw_Data!E19/Raw_Data!E21</f>
        <v>0.86731257653408322</v>
      </c>
      <c r="F6" s="7">
        <f>Raw_Data!F19/Raw_Data!F21</f>
        <v>0.89329292221866674</v>
      </c>
    </row>
    <row r="7" spans="1:6" x14ac:dyDescent="0.35">
      <c r="A7" s="5" t="s">
        <v>36</v>
      </c>
      <c r="B7" s="7">
        <f>Raw_Data!B17/Raw_Data!B21</f>
        <v>0.27844853005634318</v>
      </c>
      <c r="C7" s="7">
        <f>Raw_Data!C17/Raw_Data!C21</f>
        <v>0.15356340351469652</v>
      </c>
      <c r="D7" s="7">
        <f>Raw_Data!D17/Raw_Data!D21</f>
        <v>0.20621713876730807</v>
      </c>
      <c r="E7" s="7">
        <f>Raw_Data!E17/Raw_Data!E21</f>
        <v>0.16975259648963673</v>
      </c>
      <c r="F7" s="7">
        <f>Raw_Data!F17/Raw_Data!F21</f>
        <v>0.21695214060169896</v>
      </c>
    </row>
    <row r="9" spans="1:6" x14ac:dyDescent="0.35">
      <c r="A9" s="4" t="s">
        <v>37</v>
      </c>
    </row>
    <row r="10" spans="1:6" x14ac:dyDescent="0.35">
      <c r="A10" s="5" t="s">
        <v>38</v>
      </c>
      <c r="B10" s="8">
        <f>Raw_Data!B9/Raw_Data!B7</f>
        <v>0.41779359625167778</v>
      </c>
      <c r="C10" s="8">
        <f>Raw_Data!C9/Raw_Data!C7</f>
        <v>0.43309630561360085</v>
      </c>
      <c r="D10" s="8">
        <f>Raw_Data!D9/Raw_Data!D7</f>
        <v>0.44131129577207562</v>
      </c>
      <c r="E10" s="8">
        <f>Raw_Data!E9/Raw_Data!E7</f>
        <v>0.46206349815233932</v>
      </c>
      <c r="F10" s="8">
        <f>Raw_Data!F9/Raw_Data!F7</f>
        <v>0.46905164107160452</v>
      </c>
    </row>
    <row r="11" spans="1:6" x14ac:dyDescent="0.35">
      <c r="A11" s="5" t="s">
        <v>39</v>
      </c>
      <c r="B11" s="8">
        <f>Raw_Data!B13/Raw_Data!B7</f>
        <v>0.29782377527561593</v>
      </c>
      <c r="C11" s="8">
        <f>Raw_Data!C13/Raw_Data!C7</f>
        <v>0.30288744395528594</v>
      </c>
      <c r="D11" s="8">
        <f>Raw_Data!D13/Raw_Data!D7</f>
        <v>0.29821412265024722</v>
      </c>
      <c r="E11" s="8">
        <f>Raw_Data!E13/Raw_Data!E7</f>
        <v>0.31510222870075566</v>
      </c>
      <c r="F11" s="8">
        <f>Raw_Data!F13/Raw_Data!F7</f>
        <v>0.31970799762591884</v>
      </c>
    </row>
    <row r="12" spans="1:6" x14ac:dyDescent="0.35">
      <c r="A12" s="5" t="s">
        <v>40</v>
      </c>
      <c r="B12" s="8">
        <f>Raw_Data!B14/Raw_Data!B7</f>
        <v>0.25881793355694238</v>
      </c>
      <c r="C12" s="8">
        <f>Raw_Data!C14/Raw_Data!C7</f>
        <v>0.25309640705199732</v>
      </c>
      <c r="D12" s="8">
        <f>Raw_Data!D14/Raw_Data!D7</f>
        <v>0.25306234264320282</v>
      </c>
      <c r="E12" s="8">
        <f>Raw_Data!E14/Raw_Data!E7</f>
        <v>0.23971255769943867</v>
      </c>
      <c r="F12" s="8">
        <f>Raw_Data!F14/Raw_Data!F7</f>
        <v>0.26915064121818238</v>
      </c>
    </row>
    <row r="13" spans="1:6" x14ac:dyDescent="0.35">
      <c r="A13" s="5" t="s">
        <v>41</v>
      </c>
      <c r="B13" s="8">
        <f>Raw_Data!B14/Raw_Data!B20</f>
        <v>0.26974205275183616</v>
      </c>
      <c r="C13" s="8">
        <f>Raw_Data!C14/Raw_Data!C20</f>
        <v>0.28292440929256851</v>
      </c>
      <c r="D13" s="8">
        <f>Raw_Data!D14/Raw_Data!D20</f>
        <v>0.27509834563776475</v>
      </c>
      <c r="E13" s="8">
        <f>Raw_Data!E14/Raw_Data!E20</f>
        <v>0.25682503150857583</v>
      </c>
      <c r="F13" s="8">
        <f>Raw_Data!F14/Raw_Data!F20</f>
        <v>0.31179625933565491</v>
      </c>
    </row>
    <row r="14" spans="1:6" x14ac:dyDescent="0.35">
      <c r="A14" s="5" t="s">
        <v>42</v>
      </c>
      <c r="B14" s="8">
        <f>Raw_Data!B14/Raw_Data!B23</f>
        <v>1.5007132667617689</v>
      </c>
      <c r="C14" s="8">
        <f>Raw_Data!C14/Raw_Data!C23</f>
        <v>1.9695887275023682</v>
      </c>
      <c r="D14" s="8">
        <f>Raw_Data!D14/Raw_Data!D23</f>
        <v>1.5607601454639075</v>
      </c>
      <c r="E14" s="8">
        <f>Raw_Data!E14/Raw_Data!E23</f>
        <v>1.6459350307287095</v>
      </c>
      <c r="F14" s="8">
        <f>Raw_Data!F14/Raw_Data!F23</f>
        <v>1.5191298333175105</v>
      </c>
    </row>
    <row r="16" spans="1:6" x14ac:dyDescent="0.35">
      <c r="A16" s="4" t="s">
        <v>43</v>
      </c>
    </row>
    <row r="17" spans="1:6" x14ac:dyDescent="0.35">
      <c r="A17" s="5" t="s">
        <v>44</v>
      </c>
      <c r="B17" s="7">
        <f>Raw_Data!B22/Raw_Data!B23</f>
        <v>4.5635124425423994</v>
      </c>
      <c r="C17" s="7">
        <f>Raw_Data!C22/Raw_Data!C23</f>
        <v>5.9615369434796337</v>
      </c>
      <c r="D17" s="7">
        <f>Raw_Data!D22/Raw_Data!D23</f>
        <v>4.6734624915521517</v>
      </c>
      <c r="E17" s="7">
        <f>Raw_Data!E22/Raw_Data!E23</f>
        <v>5.408779631255487</v>
      </c>
      <c r="F17" s="7">
        <f>Raw_Data!F22/Raw_Data!F23</f>
        <v>3.8721874872852049</v>
      </c>
    </row>
    <row r="18" spans="1:6" x14ac:dyDescent="0.35">
      <c r="A18" s="5" t="s">
        <v>45</v>
      </c>
      <c r="B18" s="8">
        <f>Raw_Data!B23/Raw_Data!B20</f>
        <v>0.17974256556942694</v>
      </c>
      <c r="C18" s="8">
        <f>Raw_Data!C23/Raw_Data!C20</f>
        <v>0.14364644016385311</v>
      </c>
      <c r="D18" s="8">
        <f>Raw_Data!D23/Raw_Data!D20</f>
        <v>0.17625920705195655</v>
      </c>
      <c r="E18" s="8">
        <f>Raw_Data!E23/Raw_Data!E20</f>
        <v>0.15603594717518768</v>
      </c>
      <c r="F18" s="8">
        <f>Raw_Data!F23/Raw_Data!F20</f>
        <v>0.20524661717342954</v>
      </c>
    </row>
    <row r="20" spans="1:6" x14ac:dyDescent="0.35">
      <c r="A20" s="4" t="s">
        <v>46</v>
      </c>
    </row>
    <row r="21" spans="1:6" x14ac:dyDescent="0.35">
      <c r="A21" s="5" t="s">
        <v>47</v>
      </c>
      <c r="B21" s="7">
        <f>Raw_Data!B7/Raw_Data!B20</f>
        <v>1.0422077367080529</v>
      </c>
      <c r="C21" s="7">
        <f>Raw_Data!C7/Raw_Data!C20</f>
        <v>1.1178523337727317</v>
      </c>
      <c r="D21" s="7">
        <f>Raw_Data!D7/Raw_Data!D20</f>
        <v>1.0870773690166571</v>
      </c>
      <c r="E21" s="7">
        <f>Raw_Data!E7/Raw_Data!E20</f>
        <v>1.0713874732862074</v>
      </c>
      <c r="F21" s="7">
        <f>Raw_Data!F7/Raw_Data!F20</f>
        <v>1.1584451663368045</v>
      </c>
    </row>
    <row r="22" spans="1:6" x14ac:dyDescent="0.35">
      <c r="A22" s="5" t="s">
        <v>48</v>
      </c>
      <c r="B22" s="7">
        <f>Raw_Data!B8/Raw_Data!B18</f>
        <v>32.367933130699086</v>
      </c>
      <c r="C22" s="7">
        <f>Raw_Data!C8/Raw_Data!C18</f>
        <v>45.197331176708452</v>
      </c>
      <c r="D22" s="7">
        <f>Raw_Data!D8/Raw_Data!D18</f>
        <v>33.823566577160008</v>
      </c>
      <c r="E22" s="7">
        <f>Raw_Data!E8/Raw_Data!E18</f>
        <v>28.870710952511665</v>
      </c>
      <c r="F22" s="7">
        <f>Raw_Data!F8/Raw_Data!F18</f>
        <v>38.6428821266177</v>
      </c>
    </row>
    <row r="24" spans="1:6" x14ac:dyDescent="0.35">
      <c r="A24" s="4" t="s">
        <v>49</v>
      </c>
    </row>
    <row r="25" spans="1:6" x14ac:dyDescent="0.35">
      <c r="A25" s="5" t="s">
        <v>50</v>
      </c>
      <c r="B25" s="8">
        <f>Raw_Data!B30/Raw_Data!B7</f>
        <v>0.25409699385211731</v>
      </c>
      <c r="C25" s="8">
        <f>Raw_Data!C30/Raw_Data!C7</f>
        <v>0.28261498042238947</v>
      </c>
      <c r="D25" s="8">
        <f>Raw_Data!D30/Raw_Data!D7</f>
        <v>0.25981710737440805</v>
      </c>
      <c r="E25" s="8">
        <f>Raw_Data!E30/Raw_Data!E7</f>
        <v>0.27825386474356517</v>
      </c>
      <c r="F25" s="8">
        <f>Raw_Data!F30/Raw_Data!F7</f>
        <v>0.23732882225869315</v>
      </c>
    </row>
    <row r="26" spans="1:6" x14ac:dyDescent="0.35">
      <c r="A26" s="5" t="s">
        <v>51</v>
      </c>
      <c r="B26" s="7">
        <f>Raw_Data!B26/Raw_Data!B21</f>
        <v>0.82911357097887328</v>
      </c>
      <c r="C26" s="7">
        <f>Raw_Data!C26/Raw_Data!C21</f>
        <v>0.79328103284799523</v>
      </c>
      <c r="D26" s="7">
        <f>Raw_Data!D26/Raw_Data!D21</f>
        <v>0.76074958020205352</v>
      </c>
      <c r="E26" s="7">
        <f>Raw_Data!E26/Raw_Data!E21</f>
        <v>0.67040455349448957</v>
      </c>
      <c r="F26" s="7">
        <f>Raw_Data!F26/Raw_Data!F21</f>
        <v>0.6730744848488508</v>
      </c>
    </row>
    <row r="28" spans="1:6" x14ac:dyDescent="0.35">
      <c r="A28" s="2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9"/>
  <sheetViews>
    <sheetView tabSelected="1" zoomScaleNormal="100" workbookViewId="0"/>
  </sheetViews>
  <sheetFormatPr defaultColWidth="8.6328125" defaultRowHeight="14.5" x14ac:dyDescent="0.35"/>
  <cols>
    <col min="1" max="1" width="10" customWidth="1"/>
    <col min="2" max="2" width="20" customWidth="1"/>
    <col min="3" max="3" width="34" customWidth="1"/>
    <col min="4" max="4" width="16" customWidth="1"/>
  </cols>
  <sheetData>
    <row r="1" spans="1:4" ht="18" x14ac:dyDescent="0.4">
      <c r="A1" s="1" t="s">
        <v>53</v>
      </c>
    </row>
    <row r="2" spans="1:4" x14ac:dyDescent="0.35">
      <c r="A2" s="2" t="s">
        <v>54</v>
      </c>
    </row>
    <row r="4" spans="1:4" x14ac:dyDescent="0.35">
      <c r="A4" s="3" t="s">
        <v>55</v>
      </c>
      <c r="B4" s="3" t="s">
        <v>56</v>
      </c>
      <c r="C4" s="3" t="s">
        <v>57</v>
      </c>
      <c r="D4" s="3" t="s">
        <v>58</v>
      </c>
    </row>
    <row r="5" spans="1:4" x14ac:dyDescent="0.35">
      <c r="A5" s="5" t="s">
        <v>3</v>
      </c>
      <c r="B5" s="5" t="s">
        <v>59</v>
      </c>
      <c r="C5" s="5" t="s">
        <v>9</v>
      </c>
      <c r="D5" s="9">
        <f>Raw_Data!B7</f>
        <v>365817</v>
      </c>
    </row>
    <row r="6" spans="1:4" x14ac:dyDescent="0.35">
      <c r="A6" s="5" t="s">
        <v>4</v>
      </c>
      <c r="B6" s="5" t="s">
        <v>59</v>
      </c>
      <c r="C6" s="5" t="s">
        <v>9</v>
      </c>
      <c r="D6" s="9">
        <f>Raw_Data!C7</f>
        <v>394328</v>
      </c>
    </row>
    <row r="7" spans="1:4" x14ac:dyDescent="0.35">
      <c r="A7" s="5" t="s">
        <v>5</v>
      </c>
      <c r="B7" s="5" t="s">
        <v>59</v>
      </c>
      <c r="C7" s="5" t="s">
        <v>9</v>
      </c>
      <c r="D7" s="9">
        <f>Raw_Data!D7</f>
        <v>383285</v>
      </c>
    </row>
    <row r="8" spans="1:4" x14ac:dyDescent="0.35">
      <c r="A8" s="5" t="s">
        <v>6</v>
      </c>
      <c r="B8" s="5" t="s">
        <v>59</v>
      </c>
      <c r="C8" s="5" t="s">
        <v>9</v>
      </c>
      <c r="D8" s="9">
        <f>Raw_Data!E7</f>
        <v>391035</v>
      </c>
    </row>
    <row r="9" spans="1:4" x14ac:dyDescent="0.35">
      <c r="A9" s="5" t="s">
        <v>7</v>
      </c>
      <c r="B9" s="5" t="s">
        <v>59</v>
      </c>
      <c r="C9" s="5" t="s">
        <v>9</v>
      </c>
      <c r="D9" s="9">
        <f>Raw_Data!F7</f>
        <v>416161</v>
      </c>
    </row>
    <row r="10" spans="1:4" x14ac:dyDescent="0.35">
      <c r="A10" s="5" t="s">
        <v>3</v>
      </c>
      <c r="B10" s="5" t="s">
        <v>59</v>
      </c>
      <c r="C10" s="5" t="s">
        <v>10</v>
      </c>
      <c r="D10" s="9">
        <f>Raw_Data!B8</f>
        <v>212981</v>
      </c>
    </row>
    <row r="11" spans="1:4" x14ac:dyDescent="0.35">
      <c r="A11" s="5" t="s">
        <v>4</v>
      </c>
      <c r="B11" s="5" t="s">
        <v>59</v>
      </c>
      <c r="C11" s="5" t="s">
        <v>10</v>
      </c>
      <c r="D11" s="9">
        <f>Raw_Data!C8</f>
        <v>223546</v>
      </c>
    </row>
    <row r="12" spans="1:4" x14ac:dyDescent="0.35">
      <c r="A12" s="5" t="s">
        <v>5</v>
      </c>
      <c r="B12" s="5" t="s">
        <v>59</v>
      </c>
      <c r="C12" s="5" t="s">
        <v>10</v>
      </c>
      <c r="D12" s="9">
        <f>Raw_Data!D8</f>
        <v>214137</v>
      </c>
    </row>
    <row r="13" spans="1:4" x14ac:dyDescent="0.35">
      <c r="A13" s="5" t="s">
        <v>6</v>
      </c>
      <c r="B13" s="5" t="s">
        <v>59</v>
      </c>
      <c r="C13" s="5" t="s">
        <v>10</v>
      </c>
      <c r="D13" s="9">
        <f>Raw_Data!E8</f>
        <v>210352</v>
      </c>
    </row>
    <row r="14" spans="1:4" x14ac:dyDescent="0.35">
      <c r="A14" s="5" t="s">
        <v>7</v>
      </c>
      <c r="B14" s="5" t="s">
        <v>59</v>
      </c>
      <c r="C14" s="5" t="s">
        <v>10</v>
      </c>
      <c r="D14" s="9">
        <f>Raw_Data!F8</f>
        <v>220960</v>
      </c>
    </row>
    <row r="15" spans="1:4" x14ac:dyDescent="0.35">
      <c r="A15" s="5" t="s">
        <v>3</v>
      </c>
      <c r="B15" s="5" t="s">
        <v>59</v>
      </c>
      <c r="C15" s="5" t="s">
        <v>11</v>
      </c>
      <c r="D15" s="9">
        <f>Raw_Data!B9</f>
        <v>152836</v>
      </c>
    </row>
    <row r="16" spans="1:4" x14ac:dyDescent="0.35">
      <c r="A16" s="5" t="s">
        <v>4</v>
      </c>
      <c r="B16" s="5" t="s">
        <v>59</v>
      </c>
      <c r="C16" s="5" t="s">
        <v>11</v>
      </c>
      <c r="D16" s="9">
        <f>Raw_Data!C9</f>
        <v>170782</v>
      </c>
    </row>
    <row r="17" spans="1:4" x14ac:dyDescent="0.35">
      <c r="A17" s="5" t="s">
        <v>5</v>
      </c>
      <c r="B17" s="5" t="s">
        <v>59</v>
      </c>
      <c r="C17" s="5" t="s">
        <v>11</v>
      </c>
      <c r="D17" s="9">
        <f>Raw_Data!D9</f>
        <v>169148</v>
      </c>
    </row>
    <row r="18" spans="1:4" x14ac:dyDescent="0.35">
      <c r="A18" s="5" t="s">
        <v>6</v>
      </c>
      <c r="B18" s="5" t="s">
        <v>59</v>
      </c>
      <c r="C18" s="5" t="s">
        <v>11</v>
      </c>
      <c r="D18" s="9">
        <f>Raw_Data!E9</f>
        <v>180683</v>
      </c>
    </row>
    <row r="19" spans="1:4" x14ac:dyDescent="0.35">
      <c r="A19" s="5" t="s">
        <v>7</v>
      </c>
      <c r="B19" s="5" t="s">
        <v>59</v>
      </c>
      <c r="C19" s="5" t="s">
        <v>11</v>
      </c>
      <c r="D19" s="9">
        <f>Raw_Data!F9</f>
        <v>195201</v>
      </c>
    </row>
    <row r="20" spans="1:4" x14ac:dyDescent="0.35">
      <c r="A20" s="5" t="s">
        <v>3</v>
      </c>
      <c r="B20" s="5" t="s">
        <v>59</v>
      </c>
      <c r="C20" s="5" t="s">
        <v>12</v>
      </c>
      <c r="D20" s="9">
        <f>Raw_Data!B10</f>
        <v>21914</v>
      </c>
    </row>
    <row r="21" spans="1:4" x14ac:dyDescent="0.35">
      <c r="A21" s="5" t="s">
        <v>4</v>
      </c>
      <c r="B21" s="5" t="s">
        <v>59</v>
      </c>
      <c r="C21" s="5" t="s">
        <v>12</v>
      </c>
      <c r="D21" s="9">
        <f>Raw_Data!C10</f>
        <v>26251</v>
      </c>
    </row>
    <row r="22" spans="1:4" x14ac:dyDescent="0.35">
      <c r="A22" s="5" t="s">
        <v>5</v>
      </c>
      <c r="B22" s="5" t="s">
        <v>59</v>
      </c>
      <c r="C22" s="5" t="s">
        <v>12</v>
      </c>
      <c r="D22" s="9">
        <f>Raw_Data!D10</f>
        <v>29915</v>
      </c>
    </row>
    <row r="23" spans="1:4" x14ac:dyDescent="0.35">
      <c r="A23" s="5" t="s">
        <v>6</v>
      </c>
      <c r="B23" s="5" t="s">
        <v>59</v>
      </c>
      <c r="C23" s="5" t="s">
        <v>12</v>
      </c>
      <c r="D23" s="9">
        <f>Raw_Data!E10</f>
        <v>31370</v>
      </c>
    </row>
    <row r="24" spans="1:4" x14ac:dyDescent="0.35">
      <c r="A24" s="5" t="s">
        <v>7</v>
      </c>
      <c r="B24" s="5" t="s">
        <v>59</v>
      </c>
      <c r="C24" s="5" t="s">
        <v>12</v>
      </c>
      <c r="D24" s="9">
        <f>Raw_Data!F10</f>
        <v>34550</v>
      </c>
    </row>
    <row r="25" spans="1:4" x14ac:dyDescent="0.35">
      <c r="A25" s="5" t="s">
        <v>3</v>
      </c>
      <c r="B25" s="5" t="s">
        <v>59</v>
      </c>
      <c r="C25" s="5" t="s">
        <v>13</v>
      </c>
      <c r="D25" s="9">
        <f>Raw_Data!B11</f>
        <v>21973</v>
      </c>
    </row>
    <row r="26" spans="1:4" x14ac:dyDescent="0.35">
      <c r="A26" s="5" t="s">
        <v>4</v>
      </c>
      <c r="B26" s="5" t="s">
        <v>59</v>
      </c>
      <c r="C26" s="5" t="s">
        <v>13</v>
      </c>
      <c r="D26" s="9">
        <f>Raw_Data!C11</f>
        <v>25094</v>
      </c>
    </row>
    <row r="27" spans="1:4" x14ac:dyDescent="0.35">
      <c r="A27" s="5" t="s">
        <v>5</v>
      </c>
      <c r="B27" s="5" t="s">
        <v>59</v>
      </c>
      <c r="C27" s="5" t="s">
        <v>13</v>
      </c>
      <c r="D27" s="9">
        <f>Raw_Data!D11</f>
        <v>24932</v>
      </c>
    </row>
    <row r="28" spans="1:4" x14ac:dyDescent="0.35">
      <c r="A28" s="5" t="s">
        <v>6</v>
      </c>
      <c r="B28" s="5" t="s">
        <v>59</v>
      </c>
      <c r="C28" s="5" t="s">
        <v>13</v>
      </c>
      <c r="D28" s="9">
        <f>Raw_Data!E11</f>
        <v>26097</v>
      </c>
    </row>
    <row r="29" spans="1:4" x14ac:dyDescent="0.35">
      <c r="A29" s="5" t="s">
        <v>7</v>
      </c>
      <c r="B29" s="5" t="s">
        <v>59</v>
      </c>
      <c r="C29" s="5" t="s">
        <v>13</v>
      </c>
      <c r="D29" s="9">
        <f>Raw_Data!F11</f>
        <v>27601</v>
      </c>
    </row>
    <row r="30" spans="1:4" x14ac:dyDescent="0.35">
      <c r="A30" s="5" t="s">
        <v>3</v>
      </c>
      <c r="B30" s="5" t="s">
        <v>59</v>
      </c>
      <c r="C30" s="5" t="s">
        <v>14</v>
      </c>
      <c r="D30" s="9">
        <f>Raw_Data!B12</f>
        <v>43887</v>
      </c>
    </row>
    <row r="31" spans="1:4" x14ac:dyDescent="0.35">
      <c r="A31" s="5" t="s">
        <v>4</v>
      </c>
      <c r="B31" s="5" t="s">
        <v>59</v>
      </c>
      <c r="C31" s="5" t="s">
        <v>14</v>
      </c>
      <c r="D31" s="9">
        <f>Raw_Data!C12</f>
        <v>51345</v>
      </c>
    </row>
    <row r="32" spans="1:4" x14ac:dyDescent="0.35">
      <c r="A32" s="5" t="s">
        <v>5</v>
      </c>
      <c r="B32" s="5" t="s">
        <v>59</v>
      </c>
      <c r="C32" s="5" t="s">
        <v>14</v>
      </c>
      <c r="D32" s="9">
        <f>Raw_Data!D12</f>
        <v>54847</v>
      </c>
    </row>
    <row r="33" spans="1:4" x14ac:dyDescent="0.35">
      <c r="A33" s="5" t="s">
        <v>6</v>
      </c>
      <c r="B33" s="5" t="s">
        <v>59</v>
      </c>
      <c r="C33" s="5" t="s">
        <v>14</v>
      </c>
      <c r="D33" s="9">
        <f>Raw_Data!E12</f>
        <v>57467</v>
      </c>
    </row>
    <row r="34" spans="1:4" x14ac:dyDescent="0.35">
      <c r="A34" s="5" t="s">
        <v>7</v>
      </c>
      <c r="B34" s="5" t="s">
        <v>59</v>
      </c>
      <c r="C34" s="5" t="s">
        <v>14</v>
      </c>
      <c r="D34" s="9">
        <f>Raw_Data!F12</f>
        <v>62151</v>
      </c>
    </row>
    <row r="35" spans="1:4" x14ac:dyDescent="0.35">
      <c r="A35" s="5" t="s">
        <v>3</v>
      </c>
      <c r="B35" s="5" t="s">
        <v>59</v>
      </c>
      <c r="C35" s="5" t="s">
        <v>15</v>
      </c>
      <c r="D35" s="9">
        <f>Raw_Data!B13</f>
        <v>108949</v>
      </c>
    </row>
    <row r="36" spans="1:4" x14ac:dyDescent="0.35">
      <c r="A36" s="5" t="s">
        <v>4</v>
      </c>
      <c r="B36" s="5" t="s">
        <v>59</v>
      </c>
      <c r="C36" s="5" t="s">
        <v>15</v>
      </c>
      <c r="D36" s="9">
        <f>Raw_Data!C13</f>
        <v>119437</v>
      </c>
    </row>
    <row r="37" spans="1:4" x14ac:dyDescent="0.35">
      <c r="A37" s="5" t="s">
        <v>5</v>
      </c>
      <c r="B37" s="5" t="s">
        <v>59</v>
      </c>
      <c r="C37" s="5" t="s">
        <v>15</v>
      </c>
      <c r="D37" s="9">
        <f>Raw_Data!D13</f>
        <v>114301</v>
      </c>
    </row>
    <row r="38" spans="1:4" x14ac:dyDescent="0.35">
      <c r="A38" s="5" t="s">
        <v>6</v>
      </c>
      <c r="B38" s="5" t="s">
        <v>59</v>
      </c>
      <c r="C38" s="5" t="s">
        <v>15</v>
      </c>
      <c r="D38" s="9">
        <f>Raw_Data!E13</f>
        <v>123216</v>
      </c>
    </row>
    <row r="39" spans="1:4" x14ac:dyDescent="0.35">
      <c r="A39" s="5" t="s">
        <v>7</v>
      </c>
      <c r="B39" s="5" t="s">
        <v>59</v>
      </c>
      <c r="C39" s="5" t="s">
        <v>15</v>
      </c>
      <c r="D39" s="9">
        <f>Raw_Data!F13</f>
        <v>133050</v>
      </c>
    </row>
    <row r="40" spans="1:4" x14ac:dyDescent="0.35">
      <c r="A40" s="5" t="s">
        <v>3</v>
      </c>
      <c r="B40" s="5" t="s">
        <v>59</v>
      </c>
      <c r="C40" s="5" t="s">
        <v>16</v>
      </c>
      <c r="D40" s="9">
        <f>Raw_Data!B14</f>
        <v>94680</v>
      </c>
    </row>
    <row r="41" spans="1:4" x14ac:dyDescent="0.35">
      <c r="A41" s="5" t="s">
        <v>4</v>
      </c>
      <c r="B41" s="5" t="s">
        <v>59</v>
      </c>
      <c r="C41" s="5" t="s">
        <v>16</v>
      </c>
      <c r="D41" s="9">
        <f>Raw_Data!C14</f>
        <v>99803</v>
      </c>
    </row>
    <row r="42" spans="1:4" x14ac:dyDescent="0.35">
      <c r="A42" s="5" t="s">
        <v>5</v>
      </c>
      <c r="B42" s="5" t="s">
        <v>59</v>
      </c>
      <c r="C42" s="5" t="s">
        <v>16</v>
      </c>
      <c r="D42" s="9">
        <f>Raw_Data!D14</f>
        <v>96995</v>
      </c>
    </row>
    <row r="43" spans="1:4" x14ac:dyDescent="0.35">
      <c r="A43" s="5" t="s">
        <v>6</v>
      </c>
      <c r="B43" s="5" t="s">
        <v>59</v>
      </c>
      <c r="C43" s="5" t="s">
        <v>16</v>
      </c>
      <c r="D43" s="9">
        <f>Raw_Data!E14</f>
        <v>93736</v>
      </c>
    </row>
    <row r="44" spans="1:4" x14ac:dyDescent="0.35">
      <c r="A44" s="5" t="s">
        <v>7</v>
      </c>
      <c r="B44" s="5" t="s">
        <v>59</v>
      </c>
      <c r="C44" s="5" t="s">
        <v>16</v>
      </c>
      <c r="D44" s="9">
        <f>Raw_Data!F14</f>
        <v>112010</v>
      </c>
    </row>
    <row r="45" spans="1:4" x14ac:dyDescent="0.35">
      <c r="A45" s="5" t="s">
        <v>3</v>
      </c>
      <c r="B45" s="5" t="s">
        <v>60</v>
      </c>
      <c r="C45" s="5" t="s">
        <v>18</v>
      </c>
      <c r="D45" s="9">
        <f>Raw_Data!B17</f>
        <v>34940</v>
      </c>
    </row>
    <row r="46" spans="1:4" x14ac:dyDescent="0.35">
      <c r="A46" s="5" t="s">
        <v>4</v>
      </c>
      <c r="B46" s="5" t="s">
        <v>60</v>
      </c>
      <c r="C46" s="5" t="s">
        <v>18</v>
      </c>
      <c r="D46" s="9">
        <f>Raw_Data!C17</f>
        <v>23646</v>
      </c>
    </row>
    <row r="47" spans="1:4" x14ac:dyDescent="0.35">
      <c r="A47" s="5" t="s">
        <v>5</v>
      </c>
      <c r="B47" s="5" t="s">
        <v>60</v>
      </c>
      <c r="C47" s="5" t="s">
        <v>18</v>
      </c>
      <c r="D47" s="9">
        <f>Raw_Data!D17</f>
        <v>29965</v>
      </c>
    </row>
    <row r="48" spans="1:4" x14ac:dyDescent="0.35">
      <c r="A48" s="5" t="s">
        <v>6</v>
      </c>
      <c r="B48" s="5" t="s">
        <v>60</v>
      </c>
      <c r="C48" s="5" t="s">
        <v>18</v>
      </c>
      <c r="D48" s="9">
        <f>Raw_Data!E17</f>
        <v>29943</v>
      </c>
    </row>
    <row r="49" spans="1:4" x14ac:dyDescent="0.35">
      <c r="A49" s="5" t="s">
        <v>7</v>
      </c>
      <c r="B49" s="5" t="s">
        <v>60</v>
      </c>
      <c r="C49" s="5" t="s">
        <v>18</v>
      </c>
      <c r="D49" s="9">
        <f>Raw_Data!F17</f>
        <v>35934</v>
      </c>
    </row>
    <row r="50" spans="1:4" x14ac:dyDescent="0.35">
      <c r="A50" s="5" t="s">
        <v>3</v>
      </c>
      <c r="B50" s="5" t="s">
        <v>60</v>
      </c>
      <c r="C50" s="5" t="s">
        <v>19</v>
      </c>
      <c r="D50" s="9">
        <f>Raw_Data!B18</f>
        <v>6580</v>
      </c>
    </row>
    <row r="51" spans="1:4" x14ac:dyDescent="0.35">
      <c r="A51" s="5" t="s">
        <v>4</v>
      </c>
      <c r="B51" s="5" t="s">
        <v>60</v>
      </c>
      <c r="C51" s="5" t="s">
        <v>19</v>
      </c>
      <c r="D51" s="9">
        <f>Raw_Data!C18</f>
        <v>4946</v>
      </c>
    </row>
    <row r="52" spans="1:4" x14ac:dyDescent="0.35">
      <c r="A52" s="5" t="s">
        <v>5</v>
      </c>
      <c r="B52" s="5" t="s">
        <v>60</v>
      </c>
      <c r="C52" s="5" t="s">
        <v>19</v>
      </c>
      <c r="D52" s="9">
        <f>Raw_Data!D18</f>
        <v>6331</v>
      </c>
    </row>
    <row r="53" spans="1:4" x14ac:dyDescent="0.35">
      <c r="A53" s="5" t="s">
        <v>6</v>
      </c>
      <c r="B53" s="5" t="s">
        <v>60</v>
      </c>
      <c r="C53" s="5" t="s">
        <v>19</v>
      </c>
      <c r="D53" s="9">
        <f>Raw_Data!E18</f>
        <v>7286</v>
      </c>
    </row>
    <row r="54" spans="1:4" x14ac:dyDescent="0.35">
      <c r="A54" s="5" t="s">
        <v>7</v>
      </c>
      <c r="B54" s="5" t="s">
        <v>60</v>
      </c>
      <c r="C54" s="5" t="s">
        <v>19</v>
      </c>
      <c r="D54" s="9">
        <f>Raw_Data!F18</f>
        <v>5718</v>
      </c>
    </row>
    <row r="55" spans="1:4" x14ac:dyDescent="0.35">
      <c r="A55" s="5" t="s">
        <v>3</v>
      </c>
      <c r="B55" s="5" t="s">
        <v>60</v>
      </c>
      <c r="C55" s="5" t="s">
        <v>20</v>
      </c>
      <c r="D55" s="9">
        <f>Raw_Data!B19</f>
        <v>134836</v>
      </c>
    </row>
    <row r="56" spans="1:4" x14ac:dyDescent="0.35">
      <c r="A56" s="5" t="s">
        <v>4</v>
      </c>
      <c r="B56" s="5" t="s">
        <v>60</v>
      </c>
      <c r="C56" s="5" t="s">
        <v>20</v>
      </c>
      <c r="D56" s="9">
        <f>Raw_Data!C19</f>
        <v>135405</v>
      </c>
    </row>
    <row r="57" spans="1:4" x14ac:dyDescent="0.35">
      <c r="A57" s="5" t="s">
        <v>5</v>
      </c>
      <c r="B57" s="5" t="s">
        <v>60</v>
      </c>
      <c r="C57" s="5" t="s">
        <v>20</v>
      </c>
      <c r="D57" s="9">
        <f>Raw_Data!D19</f>
        <v>143566</v>
      </c>
    </row>
    <row r="58" spans="1:4" x14ac:dyDescent="0.35">
      <c r="A58" s="5" t="s">
        <v>6</v>
      </c>
      <c r="B58" s="5" t="s">
        <v>60</v>
      </c>
      <c r="C58" s="5" t="s">
        <v>20</v>
      </c>
      <c r="D58" s="9">
        <f>Raw_Data!E19</f>
        <v>152987</v>
      </c>
    </row>
    <row r="59" spans="1:4" x14ac:dyDescent="0.35">
      <c r="A59" s="5" t="s">
        <v>7</v>
      </c>
      <c r="B59" s="5" t="s">
        <v>60</v>
      </c>
      <c r="C59" s="5" t="s">
        <v>20</v>
      </c>
      <c r="D59" s="9">
        <f>Raw_Data!F19</f>
        <v>147957</v>
      </c>
    </row>
    <row r="60" spans="1:4" x14ac:dyDescent="0.35">
      <c r="A60" s="5" t="s">
        <v>3</v>
      </c>
      <c r="B60" s="5" t="s">
        <v>60</v>
      </c>
      <c r="C60" s="5" t="s">
        <v>21</v>
      </c>
      <c r="D60" s="9">
        <f>Raw_Data!B20</f>
        <v>351002</v>
      </c>
    </row>
    <row r="61" spans="1:4" x14ac:dyDescent="0.35">
      <c r="A61" s="5" t="s">
        <v>4</v>
      </c>
      <c r="B61" s="5" t="s">
        <v>60</v>
      </c>
      <c r="C61" s="5" t="s">
        <v>21</v>
      </c>
      <c r="D61" s="9">
        <f>Raw_Data!C20</f>
        <v>352755</v>
      </c>
    </row>
    <row r="62" spans="1:4" x14ac:dyDescent="0.35">
      <c r="A62" s="5" t="s">
        <v>5</v>
      </c>
      <c r="B62" s="5" t="s">
        <v>60</v>
      </c>
      <c r="C62" s="5" t="s">
        <v>21</v>
      </c>
      <c r="D62" s="9">
        <f>Raw_Data!D20</f>
        <v>352583</v>
      </c>
    </row>
    <row r="63" spans="1:4" x14ac:dyDescent="0.35">
      <c r="A63" s="5" t="s">
        <v>6</v>
      </c>
      <c r="B63" s="5" t="s">
        <v>60</v>
      </c>
      <c r="C63" s="5" t="s">
        <v>21</v>
      </c>
      <c r="D63" s="9">
        <f>Raw_Data!E20</f>
        <v>364980</v>
      </c>
    </row>
    <row r="64" spans="1:4" x14ac:dyDescent="0.35">
      <c r="A64" s="5" t="s">
        <v>7</v>
      </c>
      <c r="B64" s="5" t="s">
        <v>60</v>
      </c>
      <c r="C64" s="5" t="s">
        <v>21</v>
      </c>
      <c r="D64" s="9">
        <f>Raw_Data!F20</f>
        <v>359241</v>
      </c>
    </row>
    <row r="65" spans="1:4" x14ac:dyDescent="0.35">
      <c r="A65" s="5" t="s">
        <v>3</v>
      </c>
      <c r="B65" s="5" t="s">
        <v>60</v>
      </c>
      <c r="C65" s="5" t="s">
        <v>22</v>
      </c>
      <c r="D65" s="9">
        <f>Raw_Data!B21</f>
        <v>125481</v>
      </c>
    </row>
    <row r="66" spans="1:4" x14ac:dyDescent="0.35">
      <c r="A66" s="5" t="s">
        <v>4</v>
      </c>
      <c r="B66" s="5" t="s">
        <v>60</v>
      </c>
      <c r="C66" s="5" t="s">
        <v>22</v>
      </c>
      <c r="D66" s="9">
        <f>Raw_Data!C21</f>
        <v>153982</v>
      </c>
    </row>
    <row r="67" spans="1:4" x14ac:dyDescent="0.35">
      <c r="A67" s="5" t="s">
        <v>5</v>
      </c>
      <c r="B67" s="5" t="s">
        <v>60</v>
      </c>
      <c r="C67" s="5" t="s">
        <v>22</v>
      </c>
      <c r="D67" s="9">
        <f>Raw_Data!D21</f>
        <v>145308</v>
      </c>
    </row>
    <row r="68" spans="1:4" x14ac:dyDescent="0.35">
      <c r="A68" s="5" t="s">
        <v>6</v>
      </c>
      <c r="B68" s="5" t="s">
        <v>60</v>
      </c>
      <c r="C68" s="5" t="s">
        <v>22</v>
      </c>
      <c r="D68" s="9">
        <f>Raw_Data!E21</f>
        <v>176392</v>
      </c>
    </row>
    <row r="69" spans="1:4" x14ac:dyDescent="0.35">
      <c r="A69" s="5" t="s">
        <v>7</v>
      </c>
      <c r="B69" s="5" t="s">
        <v>60</v>
      </c>
      <c r="C69" s="5" t="s">
        <v>22</v>
      </c>
      <c r="D69" s="9">
        <f>Raw_Data!F21</f>
        <v>165631</v>
      </c>
    </row>
    <row r="70" spans="1:4" x14ac:dyDescent="0.35">
      <c r="A70" s="5" t="s">
        <v>3</v>
      </c>
      <c r="B70" s="5" t="s">
        <v>60</v>
      </c>
      <c r="C70" s="5" t="s">
        <v>23</v>
      </c>
      <c r="D70" s="9">
        <f>Raw_Data!B22</f>
        <v>287912</v>
      </c>
    </row>
    <row r="71" spans="1:4" x14ac:dyDescent="0.35">
      <c r="A71" s="5" t="s">
        <v>4</v>
      </c>
      <c r="B71" s="5" t="s">
        <v>60</v>
      </c>
      <c r="C71" s="5" t="s">
        <v>23</v>
      </c>
      <c r="D71" s="9">
        <f>Raw_Data!C22</f>
        <v>302083</v>
      </c>
    </row>
    <row r="72" spans="1:4" x14ac:dyDescent="0.35">
      <c r="A72" s="5" t="s">
        <v>5</v>
      </c>
      <c r="B72" s="5" t="s">
        <v>60</v>
      </c>
      <c r="C72" s="5" t="s">
        <v>23</v>
      </c>
      <c r="D72" s="9">
        <f>Raw_Data!D22</f>
        <v>290437</v>
      </c>
    </row>
    <row r="73" spans="1:4" x14ac:dyDescent="0.35">
      <c r="A73" s="5" t="s">
        <v>6</v>
      </c>
      <c r="B73" s="5" t="s">
        <v>60</v>
      </c>
      <c r="C73" s="5" t="s">
        <v>23</v>
      </c>
      <c r="D73" s="9">
        <f>Raw_Data!E22</f>
        <v>308030</v>
      </c>
    </row>
    <row r="74" spans="1:4" x14ac:dyDescent="0.35">
      <c r="A74" s="5" t="s">
        <v>7</v>
      </c>
      <c r="B74" s="5" t="s">
        <v>60</v>
      </c>
      <c r="C74" s="5" t="s">
        <v>23</v>
      </c>
      <c r="D74" s="9">
        <f>Raw_Data!F22</f>
        <v>285508</v>
      </c>
    </row>
    <row r="75" spans="1:4" x14ac:dyDescent="0.35">
      <c r="A75" s="5" t="s">
        <v>3</v>
      </c>
      <c r="B75" s="5" t="s">
        <v>60</v>
      </c>
      <c r="C75" s="5" t="s">
        <v>24</v>
      </c>
      <c r="D75" s="9">
        <f>Raw_Data!B23</f>
        <v>63090</v>
      </c>
    </row>
    <row r="76" spans="1:4" x14ac:dyDescent="0.35">
      <c r="A76" s="5" t="s">
        <v>4</v>
      </c>
      <c r="B76" s="5" t="s">
        <v>60</v>
      </c>
      <c r="C76" s="5" t="s">
        <v>24</v>
      </c>
      <c r="D76" s="9">
        <f>Raw_Data!C23</f>
        <v>50672</v>
      </c>
    </row>
    <row r="77" spans="1:4" x14ac:dyDescent="0.35">
      <c r="A77" s="5" t="s">
        <v>5</v>
      </c>
      <c r="B77" s="5" t="s">
        <v>60</v>
      </c>
      <c r="C77" s="5" t="s">
        <v>24</v>
      </c>
      <c r="D77" s="9">
        <f>Raw_Data!D23</f>
        <v>62146</v>
      </c>
    </row>
    <row r="78" spans="1:4" x14ac:dyDescent="0.35">
      <c r="A78" s="5" t="s">
        <v>6</v>
      </c>
      <c r="B78" s="5" t="s">
        <v>60</v>
      </c>
      <c r="C78" s="5" t="s">
        <v>24</v>
      </c>
      <c r="D78" s="9">
        <f>Raw_Data!E23</f>
        <v>56950</v>
      </c>
    </row>
    <row r="79" spans="1:4" x14ac:dyDescent="0.35">
      <c r="A79" s="5" t="s">
        <v>7</v>
      </c>
      <c r="B79" s="5" t="s">
        <v>60</v>
      </c>
      <c r="C79" s="5" t="s">
        <v>24</v>
      </c>
      <c r="D79" s="9">
        <f>Raw_Data!F23</f>
        <v>73733</v>
      </c>
    </row>
    <row r="80" spans="1:4" x14ac:dyDescent="0.35">
      <c r="A80" s="5" t="s">
        <v>3</v>
      </c>
      <c r="B80" s="5" t="s">
        <v>61</v>
      </c>
      <c r="C80" s="5" t="s">
        <v>26</v>
      </c>
      <c r="D80" s="9">
        <f>Raw_Data!B26</f>
        <v>104038</v>
      </c>
    </row>
    <row r="81" spans="1:4" x14ac:dyDescent="0.35">
      <c r="A81" s="5" t="s">
        <v>4</v>
      </c>
      <c r="B81" s="5" t="s">
        <v>61</v>
      </c>
      <c r="C81" s="5" t="s">
        <v>26</v>
      </c>
      <c r="D81" s="9">
        <f>Raw_Data!C26</f>
        <v>122151</v>
      </c>
    </row>
    <row r="82" spans="1:4" x14ac:dyDescent="0.35">
      <c r="A82" s="5" t="s">
        <v>5</v>
      </c>
      <c r="B82" s="5" t="s">
        <v>61</v>
      </c>
      <c r="C82" s="5" t="s">
        <v>26</v>
      </c>
      <c r="D82" s="9">
        <f>Raw_Data!D26</f>
        <v>110543</v>
      </c>
    </row>
    <row r="83" spans="1:4" x14ac:dyDescent="0.35">
      <c r="A83" s="5" t="s">
        <v>6</v>
      </c>
      <c r="B83" s="5" t="s">
        <v>61</v>
      </c>
      <c r="C83" s="5" t="s">
        <v>26</v>
      </c>
      <c r="D83" s="9">
        <f>Raw_Data!E26</f>
        <v>118254</v>
      </c>
    </row>
    <row r="84" spans="1:4" x14ac:dyDescent="0.35">
      <c r="A84" s="5" t="s">
        <v>7</v>
      </c>
      <c r="B84" s="5" t="s">
        <v>61</v>
      </c>
      <c r="C84" s="5" t="s">
        <v>26</v>
      </c>
      <c r="D84" s="9">
        <f>Raw_Data!F26</f>
        <v>111482</v>
      </c>
    </row>
    <row r="85" spans="1:4" x14ac:dyDescent="0.35">
      <c r="A85" s="5" t="s">
        <v>3</v>
      </c>
      <c r="B85" s="5" t="s">
        <v>61</v>
      </c>
      <c r="C85" s="5" t="s">
        <v>27</v>
      </c>
      <c r="D85" s="9">
        <f>Raw_Data!B27</f>
        <v>-14545</v>
      </c>
    </row>
    <row r="86" spans="1:4" x14ac:dyDescent="0.35">
      <c r="A86" s="5" t="s">
        <v>4</v>
      </c>
      <c r="B86" s="5" t="s">
        <v>61</v>
      </c>
      <c r="C86" s="5" t="s">
        <v>27</v>
      </c>
      <c r="D86" s="9">
        <f>Raw_Data!C27</f>
        <v>-22354</v>
      </c>
    </row>
    <row r="87" spans="1:4" x14ac:dyDescent="0.35">
      <c r="A87" s="5" t="s">
        <v>5</v>
      </c>
      <c r="B87" s="5" t="s">
        <v>61</v>
      </c>
      <c r="C87" s="5" t="s">
        <v>27</v>
      </c>
      <c r="D87" s="9">
        <f>Raw_Data!D27</f>
        <v>3705</v>
      </c>
    </row>
    <row r="88" spans="1:4" x14ac:dyDescent="0.35">
      <c r="A88" s="5" t="s">
        <v>6</v>
      </c>
      <c r="B88" s="5" t="s">
        <v>61</v>
      </c>
      <c r="C88" s="5" t="s">
        <v>27</v>
      </c>
      <c r="D88" s="9">
        <f>Raw_Data!E27</f>
        <v>2935</v>
      </c>
    </row>
    <row r="89" spans="1:4" x14ac:dyDescent="0.35">
      <c r="A89" s="5" t="s">
        <v>7</v>
      </c>
      <c r="B89" s="5" t="s">
        <v>61</v>
      </c>
      <c r="C89" s="5" t="s">
        <v>27</v>
      </c>
      <c r="D89" s="9">
        <f>Raw_Data!F27</f>
        <v>15195</v>
      </c>
    </row>
    <row r="90" spans="1:4" x14ac:dyDescent="0.35">
      <c r="A90" s="5" t="s">
        <v>3</v>
      </c>
      <c r="B90" s="5" t="s">
        <v>61</v>
      </c>
      <c r="C90" s="5" t="s">
        <v>28</v>
      </c>
      <c r="D90" s="9">
        <f>Raw_Data!B28</f>
        <v>-93353</v>
      </c>
    </row>
    <row r="91" spans="1:4" x14ac:dyDescent="0.35">
      <c r="A91" s="5" t="s">
        <v>4</v>
      </c>
      <c r="B91" s="5" t="s">
        <v>61</v>
      </c>
      <c r="C91" s="5" t="s">
        <v>28</v>
      </c>
      <c r="D91" s="9">
        <f>Raw_Data!C28</f>
        <v>-110749</v>
      </c>
    </row>
    <row r="92" spans="1:4" x14ac:dyDescent="0.35">
      <c r="A92" s="5" t="s">
        <v>5</v>
      </c>
      <c r="B92" s="5" t="s">
        <v>61</v>
      </c>
      <c r="C92" s="5" t="s">
        <v>28</v>
      </c>
      <c r="D92" s="9">
        <f>Raw_Data!D28</f>
        <v>-108488</v>
      </c>
    </row>
    <row r="93" spans="1:4" x14ac:dyDescent="0.35">
      <c r="A93" s="5" t="s">
        <v>6</v>
      </c>
      <c r="B93" s="5" t="s">
        <v>61</v>
      </c>
      <c r="C93" s="5" t="s">
        <v>28</v>
      </c>
      <c r="D93" s="9">
        <f>Raw_Data!E28</f>
        <v>-121983</v>
      </c>
    </row>
    <row r="94" spans="1:4" x14ac:dyDescent="0.35">
      <c r="A94" s="5" t="s">
        <v>7</v>
      </c>
      <c r="B94" s="5" t="s">
        <v>61</v>
      </c>
      <c r="C94" s="5" t="s">
        <v>28</v>
      </c>
      <c r="D94" s="9">
        <f>Raw_Data!F28</f>
        <v>-120686</v>
      </c>
    </row>
    <row r="95" spans="1:4" x14ac:dyDescent="0.35">
      <c r="A95" s="5" t="s">
        <v>3</v>
      </c>
      <c r="B95" s="5" t="s">
        <v>61</v>
      </c>
      <c r="C95" s="5" t="s">
        <v>29</v>
      </c>
      <c r="D95" s="9">
        <f>Raw_Data!B29</f>
        <v>-11085</v>
      </c>
    </row>
    <row r="96" spans="1:4" x14ac:dyDescent="0.35">
      <c r="A96" s="5" t="s">
        <v>4</v>
      </c>
      <c r="B96" s="5" t="s">
        <v>61</v>
      </c>
      <c r="C96" s="5" t="s">
        <v>29</v>
      </c>
      <c r="D96" s="9">
        <f>Raw_Data!C29</f>
        <v>-10708</v>
      </c>
    </row>
    <row r="97" spans="1:4" x14ac:dyDescent="0.35">
      <c r="A97" s="5" t="s">
        <v>5</v>
      </c>
      <c r="B97" s="5" t="s">
        <v>61</v>
      </c>
      <c r="C97" s="5" t="s">
        <v>29</v>
      </c>
      <c r="D97" s="9">
        <f>Raw_Data!D29</f>
        <v>-10959</v>
      </c>
    </row>
    <row r="98" spans="1:4" x14ac:dyDescent="0.35">
      <c r="A98" s="5" t="s">
        <v>6</v>
      </c>
      <c r="B98" s="5" t="s">
        <v>61</v>
      </c>
      <c r="C98" s="5" t="s">
        <v>29</v>
      </c>
      <c r="D98" s="9">
        <f>Raw_Data!E29</f>
        <v>-9447</v>
      </c>
    </row>
    <row r="99" spans="1:4" x14ac:dyDescent="0.35">
      <c r="A99" s="5" t="s">
        <v>7</v>
      </c>
      <c r="B99" s="5" t="s">
        <v>61</v>
      </c>
      <c r="C99" s="5" t="s">
        <v>29</v>
      </c>
      <c r="D99" s="9">
        <f>Raw_Data!F29</f>
        <v>-12715</v>
      </c>
    </row>
    <row r="100" spans="1:4" x14ac:dyDescent="0.35">
      <c r="A100" s="5" t="s">
        <v>3</v>
      </c>
      <c r="B100" s="5" t="s">
        <v>61</v>
      </c>
      <c r="C100" s="5" t="s">
        <v>30</v>
      </c>
      <c r="D100" s="9">
        <f>Raw_Data!B30</f>
        <v>92953</v>
      </c>
    </row>
    <row r="101" spans="1:4" x14ac:dyDescent="0.35">
      <c r="A101" s="5" t="s">
        <v>4</v>
      </c>
      <c r="B101" s="5" t="s">
        <v>61</v>
      </c>
      <c r="C101" s="5" t="s">
        <v>30</v>
      </c>
      <c r="D101" s="9">
        <f>Raw_Data!C30</f>
        <v>111443</v>
      </c>
    </row>
    <row r="102" spans="1:4" x14ac:dyDescent="0.35">
      <c r="A102" s="5" t="s">
        <v>5</v>
      </c>
      <c r="B102" s="5" t="s">
        <v>61</v>
      </c>
      <c r="C102" s="5" t="s">
        <v>30</v>
      </c>
      <c r="D102" s="9">
        <f>Raw_Data!D30</f>
        <v>99584</v>
      </c>
    </row>
    <row r="103" spans="1:4" x14ac:dyDescent="0.35">
      <c r="A103" s="5" t="s">
        <v>6</v>
      </c>
      <c r="B103" s="5" t="s">
        <v>61</v>
      </c>
      <c r="C103" s="5" t="s">
        <v>30</v>
      </c>
      <c r="D103" s="9">
        <f>Raw_Data!E30</f>
        <v>108807</v>
      </c>
    </row>
    <row r="104" spans="1:4" x14ac:dyDescent="0.35">
      <c r="A104" s="5" t="s">
        <v>7</v>
      </c>
      <c r="B104" s="5" t="s">
        <v>61</v>
      </c>
      <c r="C104" s="5" t="s">
        <v>30</v>
      </c>
      <c r="D104" s="9">
        <f>Raw_Data!F30</f>
        <v>98767</v>
      </c>
    </row>
    <row r="105" spans="1:4" x14ac:dyDescent="0.35">
      <c r="A105" s="5" t="s">
        <v>3</v>
      </c>
      <c r="B105" s="5" t="s">
        <v>33</v>
      </c>
      <c r="C105" s="5" t="s">
        <v>35</v>
      </c>
      <c r="D105" s="7">
        <f>Ratios!B6</f>
        <v>1.0745531195957954</v>
      </c>
    </row>
    <row r="106" spans="1:4" x14ac:dyDescent="0.35">
      <c r="A106" s="5" t="s">
        <v>4</v>
      </c>
      <c r="B106" s="5" t="s">
        <v>33</v>
      </c>
      <c r="C106" s="5" t="s">
        <v>35</v>
      </c>
      <c r="D106" s="7">
        <f>Ratios!C6</f>
        <v>0.87935602862672257</v>
      </c>
    </row>
    <row r="107" spans="1:4" x14ac:dyDescent="0.35">
      <c r="A107" s="5" t="s">
        <v>5</v>
      </c>
      <c r="B107" s="5" t="s">
        <v>33</v>
      </c>
      <c r="C107" s="5" t="s">
        <v>35</v>
      </c>
      <c r="D107" s="7">
        <f>Ratios!D6</f>
        <v>0.98801167175929749</v>
      </c>
    </row>
    <row r="108" spans="1:4" x14ac:dyDescent="0.35">
      <c r="A108" s="5" t="s">
        <v>6</v>
      </c>
      <c r="B108" s="5" t="s">
        <v>33</v>
      </c>
      <c r="C108" s="5" t="s">
        <v>35</v>
      </c>
      <c r="D108" s="7">
        <f>Ratios!E6</f>
        <v>0.86731257653408322</v>
      </c>
    </row>
    <row r="109" spans="1:4" x14ac:dyDescent="0.35">
      <c r="A109" s="5" t="s">
        <v>7</v>
      </c>
      <c r="B109" s="5" t="s">
        <v>33</v>
      </c>
      <c r="C109" s="5" t="s">
        <v>35</v>
      </c>
      <c r="D109" s="7">
        <f>Ratios!F6</f>
        <v>0.89329292221866674</v>
      </c>
    </row>
    <row r="110" spans="1:4" x14ac:dyDescent="0.35">
      <c r="A110" s="5" t="s">
        <v>3</v>
      </c>
      <c r="B110" s="5" t="s">
        <v>33</v>
      </c>
      <c r="C110" s="5" t="s">
        <v>36</v>
      </c>
      <c r="D110" s="7">
        <f>Ratios!B7</f>
        <v>0.27844853005634318</v>
      </c>
    </row>
    <row r="111" spans="1:4" x14ac:dyDescent="0.35">
      <c r="A111" s="5" t="s">
        <v>4</v>
      </c>
      <c r="B111" s="5" t="s">
        <v>33</v>
      </c>
      <c r="C111" s="5" t="s">
        <v>36</v>
      </c>
      <c r="D111" s="7">
        <f>Ratios!C7</f>
        <v>0.15356340351469652</v>
      </c>
    </row>
    <row r="112" spans="1:4" x14ac:dyDescent="0.35">
      <c r="A112" s="5" t="s">
        <v>5</v>
      </c>
      <c r="B112" s="5" t="s">
        <v>33</v>
      </c>
      <c r="C112" s="5" t="s">
        <v>36</v>
      </c>
      <c r="D112" s="7">
        <f>Ratios!D7</f>
        <v>0.20621713876730807</v>
      </c>
    </row>
    <row r="113" spans="1:4" x14ac:dyDescent="0.35">
      <c r="A113" s="5" t="s">
        <v>6</v>
      </c>
      <c r="B113" s="5" t="s">
        <v>33</v>
      </c>
      <c r="C113" s="5" t="s">
        <v>36</v>
      </c>
      <c r="D113" s="7">
        <f>Ratios!E7</f>
        <v>0.16975259648963673</v>
      </c>
    </row>
    <row r="114" spans="1:4" x14ac:dyDescent="0.35">
      <c r="A114" s="5" t="s">
        <v>7</v>
      </c>
      <c r="B114" s="5" t="s">
        <v>33</v>
      </c>
      <c r="C114" s="5" t="s">
        <v>36</v>
      </c>
      <c r="D114" s="7">
        <f>Ratios!F7</f>
        <v>0.21695214060169896</v>
      </c>
    </row>
    <row r="115" spans="1:4" x14ac:dyDescent="0.35">
      <c r="A115" s="5" t="s">
        <v>3</v>
      </c>
      <c r="B115" s="5" t="s">
        <v>33</v>
      </c>
      <c r="C115" s="5" t="s">
        <v>38</v>
      </c>
      <c r="D115" s="8">
        <f>Ratios!B10</f>
        <v>0.41779359625167778</v>
      </c>
    </row>
    <row r="116" spans="1:4" x14ac:dyDescent="0.35">
      <c r="A116" s="5" t="s">
        <v>4</v>
      </c>
      <c r="B116" s="5" t="s">
        <v>33</v>
      </c>
      <c r="C116" s="5" t="s">
        <v>38</v>
      </c>
      <c r="D116" s="8">
        <f>Ratios!C10</f>
        <v>0.43309630561360085</v>
      </c>
    </row>
    <row r="117" spans="1:4" x14ac:dyDescent="0.35">
      <c r="A117" s="5" t="s">
        <v>5</v>
      </c>
      <c r="B117" s="5" t="s">
        <v>33</v>
      </c>
      <c r="C117" s="5" t="s">
        <v>38</v>
      </c>
      <c r="D117" s="8">
        <f>Ratios!D10</f>
        <v>0.44131129577207562</v>
      </c>
    </row>
    <row r="118" spans="1:4" x14ac:dyDescent="0.35">
      <c r="A118" s="5" t="s">
        <v>6</v>
      </c>
      <c r="B118" s="5" t="s">
        <v>33</v>
      </c>
      <c r="C118" s="5" t="s">
        <v>38</v>
      </c>
      <c r="D118" s="8">
        <f>Ratios!E10</f>
        <v>0.46206349815233932</v>
      </c>
    </row>
    <row r="119" spans="1:4" x14ac:dyDescent="0.35">
      <c r="A119" s="5" t="s">
        <v>7</v>
      </c>
      <c r="B119" s="5" t="s">
        <v>33</v>
      </c>
      <c r="C119" s="5" t="s">
        <v>38</v>
      </c>
      <c r="D119" s="8">
        <f>Ratios!F10</f>
        <v>0.46905164107160452</v>
      </c>
    </row>
    <row r="120" spans="1:4" x14ac:dyDescent="0.35">
      <c r="A120" s="5" t="s">
        <v>3</v>
      </c>
      <c r="B120" s="5" t="s">
        <v>33</v>
      </c>
      <c r="C120" s="5" t="s">
        <v>39</v>
      </c>
      <c r="D120" s="8">
        <f>Ratios!B11</f>
        <v>0.29782377527561593</v>
      </c>
    </row>
    <row r="121" spans="1:4" x14ac:dyDescent="0.35">
      <c r="A121" s="5" t="s">
        <v>4</v>
      </c>
      <c r="B121" s="5" t="s">
        <v>33</v>
      </c>
      <c r="C121" s="5" t="s">
        <v>39</v>
      </c>
      <c r="D121" s="8">
        <f>Ratios!C11</f>
        <v>0.30288744395528594</v>
      </c>
    </row>
    <row r="122" spans="1:4" x14ac:dyDescent="0.35">
      <c r="A122" s="5" t="s">
        <v>5</v>
      </c>
      <c r="B122" s="5" t="s">
        <v>33</v>
      </c>
      <c r="C122" s="5" t="s">
        <v>39</v>
      </c>
      <c r="D122" s="8">
        <f>Ratios!D11</f>
        <v>0.29821412265024722</v>
      </c>
    </row>
    <row r="123" spans="1:4" x14ac:dyDescent="0.35">
      <c r="A123" s="5" t="s">
        <v>6</v>
      </c>
      <c r="B123" s="5" t="s">
        <v>33</v>
      </c>
      <c r="C123" s="5" t="s">
        <v>39</v>
      </c>
      <c r="D123" s="8">
        <f>Ratios!E11</f>
        <v>0.31510222870075566</v>
      </c>
    </row>
    <row r="124" spans="1:4" x14ac:dyDescent="0.35">
      <c r="A124" s="5" t="s">
        <v>7</v>
      </c>
      <c r="B124" s="5" t="s">
        <v>33</v>
      </c>
      <c r="C124" s="5" t="s">
        <v>39</v>
      </c>
      <c r="D124" s="8">
        <f>Ratios!F11</f>
        <v>0.31970799762591884</v>
      </c>
    </row>
    <row r="125" spans="1:4" x14ac:dyDescent="0.35">
      <c r="A125" s="5" t="s">
        <v>3</v>
      </c>
      <c r="B125" s="5" t="s">
        <v>33</v>
      </c>
      <c r="C125" s="5" t="s">
        <v>40</v>
      </c>
      <c r="D125" s="8">
        <f>Ratios!B12</f>
        <v>0.25881793355694238</v>
      </c>
    </row>
    <row r="126" spans="1:4" x14ac:dyDescent="0.35">
      <c r="A126" s="5" t="s">
        <v>4</v>
      </c>
      <c r="B126" s="5" t="s">
        <v>33</v>
      </c>
      <c r="C126" s="5" t="s">
        <v>40</v>
      </c>
      <c r="D126" s="8">
        <f>Ratios!C12</f>
        <v>0.25309640705199732</v>
      </c>
    </row>
    <row r="127" spans="1:4" x14ac:dyDescent="0.35">
      <c r="A127" s="5" t="s">
        <v>5</v>
      </c>
      <c r="B127" s="5" t="s">
        <v>33</v>
      </c>
      <c r="C127" s="5" t="s">
        <v>40</v>
      </c>
      <c r="D127" s="8">
        <f>Ratios!D12</f>
        <v>0.25306234264320282</v>
      </c>
    </row>
    <row r="128" spans="1:4" x14ac:dyDescent="0.35">
      <c r="A128" s="5" t="s">
        <v>6</v>
      </c>
      <c r="B128" s="5" t="s">
        <v>33</v>
      </c>
      <c r="C128" s="5" t="s">
        <v>40</v>
      </c>
      <c r="D128" s="8">
        <f>Ratios!E12</f>
        <v>0.23971255769943867</v>
      </c>
    </row>
    <row r="129" spans="1:4" x14ac:dyDescent="0.35">
      <c r="A129" s="5" t="s">
        <v>7</v>
      </c>
      <c r="B129" s="5" t="s">
        <v>33</v>
      </c>
      <c r="C129" s="5" t="s">
        <v>40</v>
      </c>
      <c r="D129" s="8">
        <f>Ratios!F12</f>
        <v>0.26915064121818238</v>
      </c>
    </row>
    <row r="130" spans="1:4" x14ac:dyDescent="0.35">
      <c r="A130" s="5" t="s">
        <v>3</v>
      </c>
      <c r="B130" s="5" t="s">
        <v>33</v>
      </c>
      <c r="C130" s="5" t="s">
        <v>41</v>
      </c>
      <c r="D130" s="8">
        <f>Ratios!B13</f>
        <v>0.26974205275183616</v>
      </c>
    </row>
    <row r="131" spans="1:4" x14ac:dyDescent="0.35">
      <c r="A131" s="5" t="s">
        <v>4</v>
      </c>
      <c r="B131" s="5" t="s">
        <v>33</v>
      </c>
      <c r="C131" s="5" t="s">
        <v>41</v>
      </c>
      <c r="D131" s="8">
        <f>Ratios!C13</f>
        <v>0.28292440929256851</v>
      </c>
    </row>
    <row r="132" spans="1:4" x14ac:dyDescent="0.35">
      <c r="A132" s="5" t="s">
        <v>5</v>
      </c>
      <c r="B132" s="5" t="s">
        <v>33</v>
      </c>
      <c r="C132" s="5" t="s">
        <v>41</v>
      </c>
      <c r="D132" s="8">
        <f>Ratios!D13</f>
        <v>0.27509834563776475</v>
      </c>
    </row>
    <row r="133" spans="1:4" x14ac:dyDescent="0.35">
      <c r="A133" s="5" t="s">
        <v>6</v>
      </c>
      <c r="B133" s="5" t="s">
        <v>33</v>
      </c>
      <c r="C133" s="5" t="s">
        <v>41</v>
      </c>
      <c r="D133" s="8">
        <f>Ratios!E13</f>
        <v>0.25682503150857583</v>
      </c>
    </row>
    <row r="134" spans="1:4" x14ac:dyDescent="0.35">
      <c r="A134" s="5" t="s">
        <v>7</v>
      </c>
      <c r="B134" s="5" t="s">
        <v>33</v>
      </c>
      <c r="C134" s="5" t="s">
        <v>41</v>
      </c>
      <c r="D134" s="8">
        <f>Ratios!F13</f>
        <v>0.31179625933565491</v>
      </c>
    </row>
    <row r="135" spans="1:4" x14ac:dyDescent="0.35">
      <c r="A135" s="5" t="s">
        <v>3</v>
      </c>
      <c r="B135" s="5" t="s">
        <v>33</v>
      </c>
      <c r="C135" s="5" t="s">
        <v>42</v>
      </c>
      <c r="D135" s="8">
        <f>Ratios!B14</f>
        <v>1.5007132667617689</v>
      </c>
    </row>
    <row r="136" spans="1:4" x14ac:dyDescent="0.35">
      <c r="A136" s="5" t="s">
        <v>4</v>
      </c>
      <c r="B136" s="5" t="s">
        <v>33</v>
      </c>
      <c r="C136" s="5" t="s">
        <v>42</v>
      </c>
      <c r="D136" s="8">
        <f>Ratios!C14</f>
        <v>1.9695887275023682</v>
      </c>
    </row>
    <row r="137" spans="1:4" x14ac:dyDescent="0.35">
      <c r="A137" s="5" t="s">
        <v>5</v>
      </c>
      <c r="B137" s="5" t="s">
        <v>33</v>
      </c>
      <c r="C137" s="5" t="s">
        <v>42</v>
      </c>
      <c r="D137" s="8">
        <f>Ratios!D14</f>
        <v>1.5607601454639075</v>
      </c>
    </row>
    <row r="138" spans="1:4" x14ac:dyDescent="0.35">
      <c r="A138" s="5" t="s">
        <v>6</v>
      </c>
      <c r="B138" s="5" t="s">
        <v>33</v>
      </c>
      <c r="C138" s="5" t="s">
        <v>42</v>
      </c>
      <c r="D138" s="8">
        <f>Ratios!E14</f>
        <v>1.6459350307287095</v>
      </c>
    </row>
    <row r="139" spans="1:4" x14ac:dyDescent="0.35">
      <c r="A139" s="5" t="s">
        <v>7</v>
      </c>
      <c r="B139" s="5" t="s">
        <v>33</v>
      </c>
      <c r="C139" s="5" t="s">
        <v>42</v>
      </c>
      <c r="D139" s="8">
        <f>Ratios!F14</f>
        <v>1.5191298333175105</v>
      </c>
    </row>
    <row r="140" spans="1:4" x14ac:dyDescent="0.35">
      <c r="A140" s="5" t="s">
        <v>3</v>
      </c>
      <c r="B140" s="5" t="s">
        <v>33</v>
      </c>
      <c r="C140" s="5" t="s">
        <v>44</v>
      </c>
      <c r="D140" s="7">
        <f>Ratios!B17</f>
        <v>4.5635124425423994</v>
      </c>
    </row>
    <row r="141" spans="1:4" x14ac:dyDescent="0.35">
      <c r="A141" s="5" t="s">
        <v>4</v>
      </c>
      <c r="B141" s="5" t="s">
        <v>33</v>
      </c>
      <c r="C141" s="5" t="s">
        <v>44</v>
      </c>
      <c r="D141" s="7">
        <f>Ratios!C17</f>
        <v>5.9615369434796337</v>
      </c>
    </row>
    <row r="142" spans="1:4" x14ac:dyDescent="0.35">
      <c r="A142" s="5" t="s">
        <v>5</v>
      </c>
      <c r="B142" s="5" t="s">
        <v>33</v>
      </c>
      <c r="C142" s="5" t="s">
        <v>44</v>
      </c>
      <c r="D142" s="7">
        <f>Ratios!D17</f>
        <v>4.6734624915521517</v>
      </c>
    </row>
    <row r="143" spans="1:4" x14ac:dyDescent="0.35">
      <c r="A143" s="5" t="s">
        <v>6</v>
      </c>
      <c r="B143" s="5" t="s">
        <v>33</v>
      </c>
      <c r="C143" s="5" t="s">
        <v>44</v>
      </c>
      <c r="D143" s="7">
        <f>Ratios!E17</f>
        <v>5.408779631255487</v>
      </c>
    </row>
    <row r="144" spans="1:4" x14ac:dyDescent="0.35">
      <c r="A144" s="5" t="s">
        <v>7</v>
      </c>
      <c r="B144" s="5" t="s">
        <v>33</v>
      </c>
      <c r="C144" s="5" t="s">
        <v>44</v>
      </c>
      <c r="D144" s="7">
        <f>Ratios!F17</f>
        <v>3.8721874872852049</v>
      </c>
    </row>
    <row r="145" spans="1:4" x14ac:dyDescent="0.35">
      <c r="A145" s="5" t="s">
        <v>3</v>
      </c>
      <c r="B145" s="5" t="s">
        <v>33</v>
      </c>
      <c r="C145" s="5" t="s">
        <v>45</v>
      </c>
      <c r="D145" s="8">
        <f>Ratios!B18</f>
        <v>0.17974256556942694</v>
      </c>
    </row>
    <row r="146" spans="1:4" x14ac:dyDescent="0.35">
      <c r="A146" s="5" t="s">
        <v>4</v>
      </c>
      <c r="B146" s="5" t="s">
        <v>33</v>
      </c>
      <c r="C146" s="5" t="s">
        <v>45</v>
      </c>
      <c r="D146" s="8">
        <f>Ratios!C18</f>
        <v>0.14364644016385311</v>
      </c>
    </row>
    <row r="147" spans="1:4" x14ac:dyDescent="0.35">
      <c r="A147" s="5" t="s">
        <v>5</v>
      </c>
      <c r="B147" s="5" t="s">
        <v>33</v>
      </c>
      <c r="C147" s="5" t="s">
        <v>45</v>
      </c>
      <c r="D147" s="8">
        <f>Ratios!D18</f>
        <v>0.17625920705195655</v>
      </c>
    </row>
    <row r="148" spans="1:4" x14ac:dyDescent="0.35">
      <c r="A148" s="5" t="s">
        <v>6</v>
      </c>
      <c r="B148" s="5" t="s">
        <v>33</v>
      </c>
      <c r="C148" s="5" t="s">
        <v>45</v>
      </c>
      <c r="D148" s="8">
        <f>Ratios!E18</f>
        <v>0.15603594717518768</v>
      </c>
    </row>
    <row r="149" spans="1:4" x14ac:dyDescent="0.35">
      <c r="A149" s="5" t="s">
        <v>7</v>
      </c>
      <c r="B149" s="5" t="s">
        <v>33</v>
      </c>
      <c r="C149" s="5" t="s">
        <v>45</v>
      </c>
      <c r="D149" s="8">
        <f>Ratios!F18</f>
        <v>0.20524661717342954</v>
      </c>
    </row>
    <row r="150" spans="1:4" x14ac:dyDescent="0.35">
      <c r="A150" s="5" t="s">
        <v>3</v>
      </c>
      <c r="B150" s="5" t="s">
        <v>33</v>
      </c>
      <c r="C150" s="5" t="s">
        <v>47</v>
      </c>
      <c r="D150" s="7">
        <f>Ratios!B21</f>
        <v>1.0422077367080529</v>
      </c>
    </row>
    <row r="151" spans="1:4" x14ac:dyDescent="0.35">
      <c r="A151" s="5" t="s">
        <v>4</v>
      </c>
      <c r="B151" s="5" t="s">
        <v>33</v>
      </c>
      <c r="C151" s="5" t="s">
        <v>47</v>
      </c>
      <c r="D151" s="7">
        <f>Ratios!C21</f>
        <v>1.1178523337727317</v>
      </c>
    </row>
    <row r="152" spans="1:4" x14ac:dyDescent="0.35">
      <c r="A152" s="5" t="s">
        <v>5</v>
      </c>
      <c r="B152" s="5" t="s">
        <v>33</v>
      </c>
      <c r="C152" s="5" t="s">
        <v>47</v>
      </c>
      <c r="D152" s="7">
        <f>Ratios!D21</f>
        <v>1.0870773690166571</v>
      </c>
    </row>
    <row r="153" spans="1:4" x14ac:dyDescent="0.35">
      <c r="A153" s="5" t="s">
        <v>6</v>
      </c>
      <c r="B153" s="5" t="s">
        <v>33</v>
      </c>
      <c r="C153" s="5" t="s">
        <v>47</v>
      </c>
      <c r="D153" s="7">
        <f>Ratios!E21</f>
        <v>1.0713874732862074</v>
      </c>
    </row>
    <row r="154" spans="1:4" x14ac:dyDescent="0.35">
      <c r="A154" s="5" t="s">
        <v>7</v>
      </c>
      <c r="B154" s="5" t="s">
        <v>33</v>
      </c>
      <c r="C154" s="5" t="s">
        <v>47</v>
      </c>
      <c r="D154" s="7">
        <f>Ratios!F21</f>
        <v>1.1584451663368045</v>
      </c>
    </row>
    <row r="155" spans="1:4" x14ac:dyDescent="0.35">
      <c r="A155" s="5" t="s">
        <v>3</v>
      </c>
      <c r="B155" s="5" t="s">
        <v>33</v>
      </c>
      <c r="C155" s="5" t="s">
        <v>48</v>
      </c>
      <c r="D155" s="7">
        <f>Ratios!B22</f>
        <v>32.367933130699086</v>
      </c>
    </row>
    <row r="156" spans="1:4" x14ac:dyDescent="0.35">
      <c r="A156" s="5" t="s">
        <v>4</v>
      </c>
      <c r="B156" s="5" t="s">
        <v>33</v>
      </c>
      <c r="C156" s="5" t="s">
        <v>48</v>
      </c>
      <c r="D156" s="7">
        <f>Ratios!C22</f>
        <v>45.197331176708452</v>
      </c>
    </row>
    <row r="157" spans="1:4" x14ac:dyDescent="0.35">
      <c r="A157" s="5" t="s">
        <v>5</v>
      </c>
      <c r="B157" s="5" t="s">
        <v>33</v>
      </c>
      <c r="C157" s="5" t="s">
        <v>48</v>
      </c>
      <c r="D157" s="7">
        <f>Ratios!D22</f>
        <v>33.823566577160008</v>
      </c>
    </row>
    <row r="158" spans="1:4" x14ac:dyDescent="0.35">
      <c r="A158" s="5" t="s">
        <v>6</v>
      </c>
      <c r="B158" s="5" t="s">
        <v>33</v>
      </c>
      <c r="C158" s="5" t="s">
        <v>48</v>
      </c>
      <c r="D158" s="7">
        <f>Ratios!E22</f>
        <v>28.870710952511665</v>
      </c>
    </row>
    <row r="159" spans="1:4" x14ac:dyDescent="0.35">
      <c r="A159" s="5" t="s">
        <v>7</v>
      </c>
      <c r="B159" s="5" t="s">
        <v>33</v>
      </c>
      <c r="C159" s="5" t="s">
        <v>48</v>
      </c>
      <c r="D159" s="7">
        <f>Ratios!F22</f>
        <v>38.6428821266177</v>
      </c>
    </row>
    <row r="160" spans="1:4" x14ac:dyDescent="0.35">
      <c r="A160" s="5" t="s">
        <v>3</v>
      </c>
      <c r="B160" s="5" t="s">
        <v>33</v>
      </c>
      <c r="C160" s="5" t="s">
        <v>50</v>
      </c>
      <c r="D160" s="8">
        <f>Ratios!B25</f>
        <v>0.25409699385211731</v>
      </c>
    </row>
    <row r="161" spans="1:4" x14ac:dyDescent="0.35">
      <c r="A161" s="5" t="s">
        <v>4</v>
      </c>
      <c r="B161" s="5" t="s">
        <v>33</v>
      </c>
      <c r="C161" s="5" t="s">
        <v>50</v>
      </c>
      <c r="D161" s="8">
        <f>Ratios!C25</f>
        <v>0.28261498042238947</v>
      </c>
    </row>
    <row r="162" spans="1:4" x14ac:dyDescent="0.35">
      <c r="A162" s="5" t="s">
        <v>5</v>
      </c>
      <c r="B162" s="5" t="s">
        <v>33</v>
      </c>
      <c r="C162" s="5" t="s">
        <v>50</v>
      </c>
      <c r="D162" s="8">
        <f>Ratios!D25</f>
        <v>0.25981710737440805</v>
      </c>
    </row>
    <row r="163" spans="1:4" x14ac:dyDescent="0.35">
      <c r="A163" s="5" t="s">
        <v>6</v>
      </c>
      <c r="B163" s="5" t="s">
        <v>33</v>
      </c>
      <c r="C163" s="5" t="s">
        <v>50</v>
      </c>
      <c r="D163" s="8">
        <f>Ratios!E25</f>
        <v>0.27825386474356517</v>
      </c>
    </row>
    <row r="164" spans="1:4" x14ac:dyDescent="0.35">
      <c r="A164" s="5" t="s">
        <v>7</v>
      </c>
      <c r="B164" s="5" t="s">
        <v>33</v>
      </c>
      <c r="C164" s="5" t="s">
        <v>50</v>
      </c>
      <c r="D164" s="8">
        <f>Ratios!F25</f>
        <v>0.23732882225869315</v>
      </c>
    </row>
    <row r="165" spans="1:4" x14ac:dyDescent="0.35">
      <c r="A165" s="5" t="s">
        <v>3</v>
      </c>
      <c r="B165" s="5" t="s">
        <v>33</v>
      </c>
      <c r="C165" s="5" t="s">
        <v>51</v>
      </c>
      <c r="D165" s="7">
        <f>Ratios!B26</f>
        <v>0.82911357097887328</v>
      </c>
    </row>
    <row r="166" spans="1:4" x14ac:dyDescent="0.35">
      <c r="A166" s="5" t="s">
        <v>4</v>
      </c>
      <c r="B166" s="5" t="s">
        <v>33</v>
      </c>
      <c r="C166" s="5" t="s">
        <v>51</v>
      </c>
      <c r="D166" s="7">
        <f>Ratios!C26</f>
        <v>0.79328103284799523</v>
      </c>
    </row>
    <row r="167" spans="1:4" x14ac:dyDescent="0.35">
      <c r="A167" s="5" t="s">
        <v>5</v>
      </c>
      <c r="B167" s="5" t="s">
        <v>33</v>
      </c>
      <c r="C167" s="5" t="s">
        <v>51</v>
      </c>
      <c r="D167" s="7">
        <f>Ratios!D26</f>
        <v>0.76074958020205352</v>
      </c>
    </row>
    <row r="168" spans="1:4" x14ac:dyDescent="0.35">
      <c r="A168" s="5" t="s">
        <v>6</v>
      </c>
      <c r="B168" s="5" t="s">
        <v>33</v>
      </c>
      <c r="C168" s="5" t="s">
        <v>51</v>
      </c>
      <c r="D168" s="7">
        <f>Ratios!E26</f>
        <v>0.67040455349448957</v>
      </c>
    </row>
    <row r="169" spans="1:4" x14ac:dyDescent="0.35">
      <c r="A169" s="5" t="s">
        <v>7</v>
      </c>
      <c r="B169" s="5" t="s">
        <v>33</v>
      </c>
      <c r="C169" s="5" t="s">
        <v>51</v>
      </c>
      <c r="D169" s="7">
        <f>Ratios!F26</f>
        <v>0.6730744848488508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Ratios</vt:lpstr>
      <vt:lpstr>PBI_Model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 Sai Sistla</cp:lastModifiedBy>
  <cp:revision>0</cp:revision>
  <dcterms:created xsi:type="dcterms:W3CDTF">2026-09-21T06:41:28Z</dcterms:created>
  <dcterms:modified xsi:type="dcterms:W3CDTF">2026-09-21T06:50:13Z</dcterms:modified>
  <dc:language>en-US</dc:language>
</cp:coreProperties>
</file>